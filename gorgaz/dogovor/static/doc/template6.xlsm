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7\"/>
    </mc:Choice>
  </mc:AlternateContent>
  <xr:revisionPtr revIDLastSave="0" documentId="13_ncr:1_{8D6F16C2-2F2A-49AB-ADB6-53A940A2DDDD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Реестр начислений" sheetId="1" r:id="rId1"/>
    <sheet name="Настройки" sheetId="6" r:id="rId2"/>
    <sheet name="Квитанция ПД4" sheetId="136" r:id="rId3"/>
    <sheet name="Шаблон ПД4" sheetId="7" state="hidden" r:id="rId4"/>
  </sheets>
  <functionGroups builtInGroupCount="19"/>
  <definedNames>
    <definedName name="BankName">Настройки!$B$7</definedName>
    <definedName name="BIC">Настройки!$B$5</definedName>
    <definedName name="CorrespAcc">Настройки!$B$6</definedName>
    <definedName name="INN">Настройки!$B$3</definedName>
    <definedName name="KPP">Настройки!$B$4</definedName>
    <definedName name="Name">Настройки!$B$2</definedName>
    <definedName name="PD4Purpose">'Шаблон ПД4'!$C$8</definedName>
    <definedName name="PD4Shanlon">'Шаблон ПД4'!$A$1:$C$27</definedName>
    <definedName name="PD4Sum">'Шаблон ПД4'!$C$10</definedName>
    <definedName name="PersonalAcc">Настройки!$B$8</definedName>
    <definedName name="СorrespAcc">Настройки!$B$6</definedName>
  </definedNames>
  <calcPr calcId="181029"/>
</workbook>
</file>

<file path=xl/calcChain.xml><?xml version="1.0" encoding="utf-8"?>
<calcChain xmlns="http://schemas.openxmlformats.org/spreadsheetml/2006/main">
  <c r="C23" i="136" l="1"/>
  <c r="C21" i="136"/>
  <c r="C15" i="136"/>
  <c r="C6" i="136"/>
  <c r="C19" i="136" s="1"/>
  <c r="C4" i="136"/>
  <c r="C17" i="136" s="1"/>
  <c r="C2" i="136"/>
  <c r="C4" i="7"/>
  <c r="C17" i="7" s="1"/>
  <c r="C23" i="7"/>
  <c r="C6" i="7"/>
  <c r="C19" i="7" s="1"/>
  <c r="C21" i="7"/>
  <c r="C2" i="7"/>
  <c r="C15" i="7" s="1"/>
</calcChain>
</file>

<file path=xl/sharedStrings.xml><?xml version="1.0" encoding="utf-8"?>
<sst xmlns="http://schemas.openxmlformats.org/spreadsheetml/2006/main" count="59" uniqueCount="35">
  <si>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</si>
  <si>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</si>
  <si>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</si>
  <si>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</si>
  <si>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</si>
  <si>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</si>
  <si>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</si>
  <si>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</si>
  <si>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</si>
  <si>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</si>
  <si>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</si>
  <si>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r>
      <t xml:space="preserve">банка, ознакомлен и согласен.                    Подпись плательщика </t>
    </r>
    <r>
      <rPr>
        <u/>
        <sz val="7"/>
        <rFont val="Arial Cyr"/>
        <charset val="204"/>
      </rPr>
      <t xml:space="preserve">                                       \</t>
    </r>
  </si>
  <si>
    <t>Квитанция</t>
  </si>
  <si>
    <t xml:space="preserve">  (инн получателя платежа)                                                            (номер счёта получателя платежа)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</si>
  <si>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</si>
  <si>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</si>
  <si>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</si>
  <si>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</si>
  <si>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</si>
  <si>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</si>
  <si>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Сумма</t>
  </si>
  <si>
    <t>ПАО СБЕРБАНК                                                                            Форма №ПД-4</t>
  </si>
  <si>
    <t>ФИО</t>
  </si>
  <si>
    <t>Назначение</t>
  </si>
  <si>
    <t>Адрес</t>
  </si>
  <si>
    <t>5243011758</t>
  </si>
  <si>
    <t>524301001</t>
  </si>
  <si>
    <t>Оплата за АДО и тех. обслуж-е</t>
  </si>
  <si>
    <t>ООО "Арзамасгоргаз"</t>
  </si>
  <si>
    <t>044525411</t>
  </si>
  <si>
    <t>30101810145250000411</t>
  </si>
  <si>
    <t>40702810517500000015</t>
  </si>
  <si>
    <t>ФИЛИАЛ "ЦЕНТРАЛЬНЫЙ" БАНКА ВТБ (ПАО) Г. МОСКВА</t>
  </si>
  <si>
    <t>ФИО: ; Адрес: ; Назначение: Оплата за АДО и тех. обслуж-е</t>
  </si>
  <si>
    <t>Сумма: 0 руб. 00 коп.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</si>
</sst>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2"/>
      <charset val="204"/>
    </font>
    <font>
      <sz val="11"/>
      <color indexed="8"/>
      <name val="Arial"/>
      <family val="2"/>
      <charset val="204"/>
    </font>
    <font>
      <sz val="10"/>
      <name val="Arial Cyr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sz val="7"/>
      <name val="Arial Cyr"/>
      <charset val="204"/>
    </font>
    <font>
      <u/>
      <sz val="7"/>
      <name val="Arial Cyr"/>
      <charset val="204"/>
    </font>
    <font>
      <sz val="7"/>
      <color indexed="8"/>
      <name val="Arial Cyr"/>
      <charset val="204"/>
    </font>
    <font>
      <b/>
      <sz val="12"/>
      <color indexed="8"/>
      <name val="Times New Roman"/>
    </font>
    <font>
      <sz val="12"/>
      <color indexed="8"/>
      <name val="Times New Roman"/>
      <family val="1"/>
      <charset val="204"/>
    </font>
    <font>
      <sz val="10"/>
      <color theme="1"/>
      <name val="Arial Cyr"/>
      <charset val="204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wrapText="1"/>
    </xf>
    <xf numFmtId="14" fontId="1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1" xfId="0" applyBorder="1" applyProtection="1">
      <protection locked="0"/>
    </xf>
    <xf numFmtId="49" fontId="0" fillId="0" borderId="0" xfId="0" applyNumberFormat="1" applyAlignment="1" applyProtection="1">
      <alignment horizontal="center" vertical="center" wrapText="1"/>
      <protection locked="0"/>
    </xf>
    <xf numFmtId="0" fontId="0" fillId="0" borderId="0" xfId="0" applyAlignment="1">
      <alignment horizontal="left" vertical="center"/>
    </xf>
    <xf numFmtId="0" fontId="7" fillId="0" borderId="2" xfId="0" applyNumberFormat="1" applyFont="1" applyBorder="1"/>
    <xf numFmtId="0" fontId="4" fillId="0" borderId="1" xfId="0" applyNumberFormat="1" applyFont="1" applyBorder="1" applyAlignment="1" applyProtection="1">
      <alignment horizontal="center" wrapText="1"/>
      <protection locked="0"/>
    </xf>
    <xf numFmtId="0" fontId="8" fillId="0" borderId="3" xfId="0" applyNumberFormat="1" applyFont="1" applyBorder="1" applyAlignment="1">
      <alignment horizontal="center" vertical="top"/>
    </xf>
    <xf numFmtId="0" fontId="4" fillId="0" borderId="1" xfId="0" applyNumberFormat="1" applyFont="1" applyBorder="1" applyAlignment="1">
      <alignment horizontal="left"/>
    </xf>
    <xf numFmtId="0" fontId="8" fillId="0" borderId="3" xfId="0" applyNumberFormat="1" applyFont="1" applyBorder="1" applyAlignment="1">
      <alignment vertical="top"/>
    </xf>
    <xf numFmtId="0" fontId="4" fillId="0" borderId="1" xfId="0" applyNumberFormat="1" applyFont="1" applyBorder="1" applyAlignment="1">
      <alignment horizontal="center" wrapText="1"/>
    </xf>
    <xf numFmtId="0" fontId="6" fillId="0" borderId="1" xfId="0" applyNumberFormat="1" applyFont="1" applyBorder="1" applyAlignment="1">
      <alignment horizontal="center" wrapText="1"/>
    </xf>
    <xf numFmtId="0" fontId="8" fillId="0" borderId="3" xfId="0" applyNumberFormat="1" applyFont="1" applyBorder="1"/>
    <xf numFmtId="0" fontId="8" fillId="0" borderId="1" xfId="0" applyNumberFormat="1" applyFont="1" applyBorder="1"/>
    <xf numFmtId="0" fontId="6" fillId="0" borderId="3" xfId="0" applyNumberFormat="1" applyFont="1" applyBorder="1" applyProtection="1">
      <protection locked="0"/>
    </xf>
    <xf numFmtId="0" fontId="6" fillId="0" borderId="3" xfId="0" applyNumberFormat="1" applyFont="1" applyBorder="1" applyAlignment="1" applyProtection="1">
      <alignment horizontal="center"/>
      <protection locked="0"/>
    </xf>
    <xf numFmtId="0" fontId="0" fillId="0" borderId="3" xfId="0" applyBorder="1"/>
    <xf numFmtId="0" fontId="0" fillId="0" borderId="4" xfId="0" applyBorder="1"/>
    <xf numFmtId="0" fontId="6" fillId="0" borderId="1" xfId="0" applyNumberFormat="1" applyFont="1" applyBorder="1" applyProtection="1">
      <protection locked="0"/>
    </xf>
    <xf numFmtId="0" fontId="0" fillId="0" borderId="3" xfId="0" applyBorder="1" applyProtection="1">
      <protection locked="0"/>
    </xf>
    <xf numFmtId="0" fontId="0" fillId="0" borderId="5" xfId="0" applyBorder="1"/>
    <xf numFmtId="0" fontId="13" fillId="0" borderId="6" xfId="0" applyNumberFormat="1" applyFont="1" applyBorder="1" applyAlignment="1">
      <alignment horizontal="center" wrapText="1" shrinkToFit="1"/>
    </xf>
    <xf numFmtId="0" fontId="10" fillId="0" borderId="7" xfId="0" applyNumberFormat="1" applyFont="1" applyBorder="1" applyAlignment="1">
      <alignment horizontal="center" vertical="top"/>
    </xf>
    <xf numFmtId="0" fontId="10" fillId="0" borderId="3" xfId="0" applyNumberFormat="1" applyFont="1" applyBorder="1" applyAlignment="1">
      <alignment horizontal="center" vertical="top"/>
    </xf>
    <xf numFmtId="0" fontId="6" fillId="0" borderId="6" xfId="0" applyNumberFormat="1" applyFont="1" applyBorder="1" applyAlignment="1">
      <alignment horizontal="center"/>
    </xf>
    <xf numFmtId="0" fontId="8" fillId="0" borderId="8" xfId="0" applyNumberFormat="1" applyFont="1" applyBorder="1" applyAlignment="1">
      <alignment horizontal="center" vertical="top"/>
    </xf>
    <xf numFmtId="0" fontId="6" fillId="0" borderId="2" xfId="0" applyNumberFormat="1" applyFont="1" applyBorder="1" applyProtection="1">
      <protection locked="0"/>
    </xf>
    <xf numFmtId="0" fontId="0" fillId="0" borderId="9" xfId="0" applyBorder="1"/>
    <xf numFmtId="0" fontId="2" fillId="0" borderId="0" xfId="0" applyFont="1" applyProtection="1">
      <protection locked="0"/>
    </xf>
    <xf numFmtId="49" fontId="5" fillId="2" borderId="6" xfId="0" applyNumberFormat="1" applyFont="1" applyFill="1" applyBorder="1" applyAlignment="1">
      <alignment horizontal="center" vertical="center" wrapText="1"/>
    </xf>
    <xf numFmtId="49" fontId="2" fillId="3" borderId="11" xfId="0" applyNumberFormat="1" applyFont="1" applyFill="1" applyBorder="1" applyAlignment="1" applyProtection="1">
      <alignment horizontal="left" vertical="top"/>
      <protection locked="0"/>
    </xf>
    <xf numFmtId="49" fontId="11" fillId="2" borderId="6" xfId="0" applyNumberFormat="1" applyFont="1" applyFill="1" applyBorder="1" applyAlignment="1">
      <alignment horizontal="center" vertical="center" wrapText="1"/>
    </xf>
    <xf numFmtId="49" fontId="12" fillId="3" borderId="7" xfId="0" applyNumberFormat="1" applyFont="1" applyFill="1" applyBorder="1" applyAlignment="1" applyProtection="1">
      <alignment horizontal="right" vertical="top"/>
      <protection locked="0"/>
    </xf>
    <xf numFmtId="2" fontId="12" fillId="3" borderId="7" xfId="0" applyNumberFormat="1" applyFont="1" applyFill="1" applyBorder="1" applyAlignment="1" applyProtection="1">
      <alignment horizontal="right" vertical="top"/>
      <protection locked="0"/>
    </xf>
    <xf numFmtId="0" fontId="0" fillId="0" borderId="10" xfId="0" quotePrefix="1" applyBorder="1" applyAlignment="1">
      <alignment horizontal="center"/>
    </xf>
  </cellXfs>
  <cellStyles count="1">
    <cellStyle name="Обычный" xfId="0" builtinId="0"/>
  </cellStyles>
  <dxfs count="15"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theme="4" tint="0.39997558519241921"/>
        </top>
        <bottom style="hair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right" vertical="top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152400</xdr:rowOff>
        </xdr:from>
        <xdr:to>
          <xdr:col>1</xdr:col>
          <xdr:colOff>247650</xdr:colOff>
          <xdr:row>1</xdr:row>
          <xdr:rowOff>114300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156AB466-49BC-4B76-B2F2-56C8A02134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квитанцию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Реестр" displayName="Реестр" ref="A3:D4" headerRowDxfId="14" dataDxfId="12" totalsRowDxfId="10" headerRowBorderDxfId="13" tableBorderDxfId="11">
  <tableColumns count="4">
    <tableColumn id="1" xr3:uid="{00000000-0010-0000-0000-000001000000}" name="ФИО" totalsRowLabel="Итог" dataDxfId="9" totalsRowDxfId="8"/>
    <tableColumn id="2" xr3:uid="{00000000-0010-0000-0000-000002000000}" name="Адрес" dataDxfId="7" totalsRowDxfId="6"/>
    <tableColumn id="3" xr3:uid="{00000000-0010-0000-0000-000003000000}" name="Назначение" dataDxfId="5" totalsRowDxfId="4"/>
    <tableColumn id="4" xr3:uid="{00000000-0010-0000-0000-000004000000}" name="Сумма" dataDxfId="3" totalsRow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Таблица1" displayName="Таблица1" ref="A1:B8" totalsRowShown="0">
  <tableColumns count="2">
    <tableColumn id="1" xr3:uid="{00000000-0010-0000-0100-000001000000}" name="Параметр" dataDxfId="1"/>
    <tableColumn id="2" xr3:uid="{00000000-0010-0000-0100-000002000000}" name="Значение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94"/>
  <sheetViews>
    <sheetView workbookViewId="0">
      <pane ySplit="3" topLeftCell="A4" activePane="bottomLeft" state="frozen"/>
      <selection activeCell="A2" sqref="A2"/>
      <selection pane="bottomLeft" activeCell="D4" sqref="D4"/>
    </sheetView>
  </sheetViews>
  <sheetFormatPr defaultRowHeight="22.15" customHeight="1" x14ac:dyDescent="0.25"/>
  <cols>
    <col min="1" max="2" width="30.75" style="3" customWidth="1"/>
    <col min="3" max="3" width="30.625" style="3" customWidth="1"/>
    <col min="4" max="4" width="15.75" style="3" customWidth="1"/>
    <col min="5" max="8" width="15.625" style="4" customWidth="1"/>
    <col min="9" max="10" width="9" style="4"/>
    <col min="11" max="12" width="15.625" style="4" customWidth="1"/>
    <col min="13" max="16384" width="9" style="4"/>
  </cols>
  <sheetData>
    <row r="1" spans="1:4" customFormat="1" ht="22.15" customHeight="1" x14ac:dyDescent="0.25">
      <c r="A1" s="3"/>
      <c r="B1" s="3"/>
      <c r="C1" s="2"/>
      <c r="D1" s="3"/>
    </row>
    <row r="2" spans="1:4" customFormat="1" ht="22.15" customHeight="1" x14ac:dyDescent="0.25">
      <c r="A2" s="5"/>
      <c r="B2" s="5"/>
      <c r="C2" s="5"/>
      <c r="D2" s="5"/>
    </row>
    <row r="3" spans="1:4" s="1" customFormat="1" ht="22.15" customHeight="1" x14ac:dyDescent="0.25">
      <c r="A3" s="35" t="s">
        <v>22</v>
      </c>
      <c r="B3" s="37" t="s">
        <v>24</v>
      </c>
      <c r="C3" s="37" t="s">
        <v>23</v>
      </c>
      <c r="D3" s="37" t="s">
        <v>20</v>
      </c>
    </row>
    <row r="4" spans="1:4" ht="22.15" customHeight="1" x14ac:dyDescent="0.25">
      <c r="A4" s="36"/>
      <c r="B4" s="38"/>
      <c r="C4" s="38" t="s">
        <v>27</v>
      </c>
      <c r="D4" s="39">
        <v>0</v>
      </c>
    </row>
    <row r="92" spans="1:12" ht="22.15" customHeight="1" x14ac:dyDescent="0.25">
      <c r="E92" s="34"/>
      <c r="F92" s="34"/>
      <c r="G92" s="34"/>
      <c r="H92" s="34"/>
      <c r="I92" s="34"/>
      <c r="J92" s="34"/>
      <c r="K92" s="34"/>
      <c r="L92" s="34"/>
    </row>
    <row r="93" spans="1:12" s="34" customFormat="1" ht="22.15" customHeight="1" x14ac:dyDescent="0.25">
      <c r="A93" s="3"/>
      <c r="B93" s="3"/>
      <c r="C93" s="3"/>
      <c r="D93" s="3"/>
    </row>
    <row r="94" spans="1:12" s="34" customFormat="1" ht="22.15" customHeight="1" x14ac:dyDescent="0.25">
      <c r="A94" s="3"/>
      <c r="B94" s="3"/>
      <c r="C94" s="3"/>
      <c r="D94" s="3"/>
      <c r="E94" s="4"/>
      <c r="F94" s="4"/>
      <c r="G94" s="4"/>
      <c r="H94" s="4"/>
      <c r="I94" s="4"/>
      <c r="J94" s="4"/>
      <c r="K94" s="4"/>
      <c r="L94" s="4"/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142" yWindow="426" count="5">
    <dataValidation type="textLength" allowBlank="1" showInputMessage="1" showErrorMessage="1" errorTitle="Некорректный ввод данных" error="Длина поля должна быть от 3 до 50 символов" prompt="Длина поля от 3 до 50 символов" sqref="A5:A65536" xr:uid="{00000000-0002-0000-0000-000000000000}">
      <formula1>3</formula1>
      <formula2>50</formula2>
    </dataValidation>
    <dataValidation type="textLength" allowBlank="1" showInputMessage="1" showErrorMessage="1" error="Некорректное значения. Длина поля должна быть от 5 до 60 символов" prompt="Длина поля от 5 до 60 символов" sqref="B5:C65536" xr:uid="{00000000-0002-0000-0000-000001000000}">
      <formula1>5</formula1>
      <formula2>60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A4" xr:uid="{00000000-0002-0000-0000-000002000000}">
      <formula1>3</formula1>
      <formula2>50</formula2>
    </dataValidation>
    <dataValidation type="textLength" allowBlank="1" showInputMessage="1" showErrorMessage="1" errorTitle="Внимание" error="Длина поля 'Адрес' должна быть от 3 до 50 символов" promptTitle="Внимание" prompt="Длина поля 'Адрес' должна быть от 3 до 50 символов" sqref="B4" xr:uid="{00000000-0002-0000-0000-000003000000}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D4" xr:uid="{00000000-0002-0000-0000-000004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GeneratePD4">
                <anchor>
                  <from>
                    <xdr:col>0</xdr:col>
                    <xdr:colOff>571500</xdr:colOff>
                    <xdr:row>0</xdr:row>
                    <xdr:rowOff>152400</xdr:rowOff>
                  </from>
                  <to>
                    <xdr:col>1</xdr:col>
                    <xdr:colOff>247650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B13"/>
  <sheetViews>
    <sheetView zoomScale="90" zoomScaleNormal="90" workbookViewId="0">
      <selection activeCell="B8" sqref="B8"/>
    </sheetView>
  </sheetViews>
  <sheetFormatPr defaultRowHeight="15.75" x14ac:dyDescent="0.25"/>
  <cols>
    <col min="1" max="1" width="40.875" customWidth="1"/>
    <col min="2" max="2" width="52.5" customWidth="1"/>
    <col min="5" max="5" width="11.75" customWidth="1"/>
    <col min="7" max="7" width="47.625" customWidth="1"/>
  </cols>
  <sheetData>
    <row r="1" spans="1:2" x14ac:dyDescent="0.25">
      <c r="A1" s="7" t="s">
        <v>2</v>
      </c>
      <c r="B1" s="7" t="s">
        <v>3</v>
      </c>
    </row>
    <row r="2" spans="1:2" x14ac:dyDescent="0.25">
      <c r="A2" s="10" t="s">
        <v>0</v>
      </c>
      <c r="B2" s="6" t="s">
        <v>28</v>
      </c>
    </row>
    <row r="3" spans="1:2" x14ac:dyDescent="0.25">
      <c r="A3" s="10" t="s">
        <v>1</v>
      </c>
      <c r="B3" s="6" t="s">
        <v>25</v>
      </c>
    </row>
    <row r="4" spans="1:2" x14ac:dyDescent="0.25">
      <c r="A4" s="10" t="s">
        <v>15</v>
      </c>
      <c r="B4" s="6" t="s">
        <v>26</v>
      </c>
    </row>
    <row r="5" spans="1:2" x14ac:dyDescent="0.25">
      <c r="A5" s="10" t="s">
        <v>5</v>
      </c>
      <c r="B5" s="6" t="s">
        <v>29</v>
      </c>
    </row>
    <row r="6" spans="1:2" x14ac:dyDescent="0.25">
      <c r="A6" s="10" t="s">
        <v>19</v>
      </c>
      <c r="B6" s="6" t="s">
        <v>30</v>
      </c>
    </row>
    <row r="7" spans="1:2" ht="31.5" x14ac:dyDescent="0.25">
      <c r="A7" s="10" t="s">
        <v>16</v>
      </c>
      <c r="B7" s="9" t="s">
        <v>32</v>
      </c>
    </row>
    <row r="8" spans="1:2" ht="21" customHeight="1" x14ac:dyDescent="0.25">
      <c r="A8" s="10" t="s">
        <v>4</v>
      </c>
      <c r="B8" s="6" t="s">
        <v>31</v>
      </c>
    </row>
    <row r="9" spans="1:2" ht="18" customHeight="1" x14ac:dyDescent="0.25"/>
    <row r="10" spans="1:2" ht="18" customHeight="1" x14ac:dyDescent="0.25"/>
    <row r="11" spans="1:2" ht="18" customHeight="1" x14ac:dyDescent="0.25"/>
    <row r="12" spans="1:2" ht="18" customHeight="1" x14ac:dyDescent="0.25"/>
    <row r="13" spans="1:2" ht="18" customHeight="1" x14ac:dyDescent="0.25"/>
  </sheetData>
  <dataValidations count="6">
    <dataValidation type="textLength" allowBlank="1" showInputMessage="1" showErrorMessage="1" errorTitle="Внимание" error="Длина ИНН 10 или 12 знаков" promptTitle="Внимание" prompt="Длина ИНН 10 или 12 знаков" sqref="B3" xr:uid="{00000000-0002-0000-0100-000000000000}">
      <formula1>10</formula1>
      <formula2>12</formula2>
    </dataValidation>
    <dataValidation type="textLength" operator="equal" allowBlank="1" showInputMessage="1" showErrorMessage="1" errorTitle="Внимание" error="Длина БИК 9 символов" promptTitle="Внимание" prompt="Длина БИК 9 символов" sqref="B5" xr:uid="{00000000-0002-0000-0100-000001000000}">
      <formula1>9</formula1>
    </dataValidation>
    <dataValidation type="textLength" operator="equal" allowBlank="1" showInputMessage="1" showErrorMessage="1" errorTitle="Внимание" error="Длина расчетного счета 20 символов" promptTitle="Внимание" prompt="Длина расчетного счета 20 символов" sqref="B8" xr:uid="{00000000-0002-0000-0100-000002000000}">
      <formula1>20</formula1>
    </dataValidation>
    <dataValidation type="textLength" allowBlank="1" showInputMessage="1" showErrorMessage="1" errorTitle="Внимание" error="Длина КПП 9 знаков" promptTitle="Внимание" prompt="Длина КПП 9 знаков" sqref="B4" xr:uid="{00000000-0002-0000-0100-000003000000}">
      <formula1>9</formula1>
      <formula2>9</formula2>
    </dataValidation>
    <dataValidation operator="equal" allowBlank="1" errorTitle="Внимание" error="Длина БИК 9 символов" promptTitle="Внимание" prompt="Длина БИК 9 символов" sqref="B7" xr:uid="{00000000-0002-0000-0100-000004000000}"/>
    <dataValidation type="textLength" operator="equal" allowBlank="1" showInputMessage="1" showErrorMessage="1" errorTitle="Внимание" error="Длина корр.счета должна быть 20 символов. Можно указать 20 нулей." promptTitle="Внимание" prompt="Длина корр.счета 20 символов. Для бюджетных клиентов необходимо указывать 20 нулей." sqref="B6" xr:uid="{00000000-0002-0000-0100-000005000000}">
      <formula1>20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27"/>
  <sheetViews>
    <sheetView tabSelected="1"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x14ac:dyDescent="0.25">
      <c r="A1" s="33"/>
      <c r="B1" s="32"/>
      <c r="C1" s="11" t="s">
        <v>21</v>
      </c>
    </row>
    <row r="2" spans="1:3" x14ac:dyDescent="0.25">
      <c r="A2" s="23"/>
      <c r="B2" s="21" t="s">
        <v>6</v>
      </c>
      <c r="C2" s="12" t="str">
        <f>Name</f>
        <v>ООО "Арзамасгоргаз"</v>
      </c>
    </row>
    <row r="3" spans="1:3" x14ac:dyDescent="0.25">
      <c r="A3" s="23"/>
      <c r="B3" s="20"/>
      <c r="C3" s="13" t="s">
        <v>7</v>
      </c>
    </row>
    <row r="4" spans="1:3" x14ac:dyDescent="0.25">
      <c r="A4" s="23"/>
      <c r="B4" s="20"/>
      <c r="C4" s="14" t="str">
        <f>"  ИНН "&amp;INN&amp;" КПП "&amp;KPP&amp;"            "&amp;PersonalAcc</f>
        <v xml:space="preserve">  ИНН 5243011758 КПП 524301001            40702810517500000015</v>
      </c>
    </row>
    <row r="5" spans="1:3" x14ac:dyDescent="0.25">
      <c r="A5" s="23"/>
      <c r="B5" s="20"/>
      <c r="C5" s="15" t="s">
        <v>8</v>
      </c>
    </row>
    <row r="6" spans="1:3" x14ac:dyDescent="0.25">
      <c r="A6" s="23"/>
      <c r="B6" s="20"/>
      <c r="C6" s="16" t="str">
        <f>"БИК "&amp;BIC&amp;" ("&amp;BankName&amp;")"</f>
        <v>БИК 044525411 (ФИЛИАЛ "ЦЕНТРАЛЬНЫЙ" БАНКА ВТБ (ПАО) Г. МОСКВА)</v>
      </c>
    </row>
    <row r="7" spans="1:3" x14ac:dyDescent="0.25">
      <c r="A7" s="23"/>
      <c r="B7" s="20"/>
      <c r="C7" s="13" t="s">
        <v>9</v>
      </c>
    </row>
    <row r="8" spans="1:3" x14ac:dyDescent="0.25">
      <c r="A8" s="23"/>
      <c r="B8" s="20"/>
      <c r="C8" s="17" t="s">
        <v>33</v>
      </c>
    </row>
    <row r="9" spans="1:3" ht="9" customHeight="1" x14ac:dyDescent="0.25">
      <c r="A9" s="23"/>
      <c r="B9" s="20"/>
      <c r="C9" s="13" t="s">
        <v>17</v>
      </c>
    </row>
    <row r="10" spans="1:3" x14ac:dyDescent="0.25">
      <c r="A10" s="23"/>
      <c r="B10" s="20"/>
      <c r="C10" s="30" t="s">
        <v>34</v>
      </c>
    </row>
    <row r="11" spans="1:3" ht="9" customHeight="1" x14ac:dyDescent="0.25">
      <c r="A11" s="23"/>
      <c r="B11" s="22"/>
      <c r="C11" s="28" t="s">
        <v>18</v>
      </c>
    </row>
    <row r="12" spans="1:3" x14ac:dyDescent="0.25">
      <c r="A12" s="23"/>
      <c r="B12" s="20"/>
      <c r="C12" s="18" t="s">
        <v>10</v>
      </c>
    </row>
    <row r="13" spans="1:3" x14ac:dyDescent="0.25">
      <c r="A13" s="26"/>
      <c r="B13" s="24"/>
      <c r="C13" s="19" t="s">
        <v>11</v>
      </c>
    </row>
    <row r="14" spans="1:3" x14ac:dyDescent="0.25">
      <c r="A14" s="23"/>
      <c r="B14" s="20"/>
      <c r="C14" s="11" t="s">
        <v>21</v>
      </c>
    </row>
    <row r="15" spans="1:3" x14ac:dyDescent="0.25">
      <c r="A15" s="23"/>
      <c r="B15" s="21" t="s">
        <v>12</v>
      </c>
      <c r="C15" s="12" t="str">
        <f>C2</f>
        <v>ООО "Арзамасгоргаз"</v>
      </c>
    </row>
    <row r="16" spans="1:3" x14ac:dyDescent="0.25">
      <c r="A16" s="23"/>
      <c r="B16" s="20"/>
      <c r="C16" s="13" t="s">
        <v>7</v>
      </c>
    </row>
    <row r="17" spans="1:3" x14ac:dyDescent="0.25">
      <c r="A17" s="23"/>
      <c r="B17" s="20"/>
      <c r="C17" s="14" t="str">
        <f>C4</f>
        <v xml:space="preserve">  ИНН 5243011758 КПП 524301001            40702810517500000015</v>
      </c>
    </row>
    <row r="18" spans="1:3" x14ac:dyDescent="0.25">
      <c r="A18" s="23"/>
      <c r="B18" s="20"/>
      <c r="C18" s="15" t="s">
        <v>13</v>
      </c>
    </row>
    <row r="19" spans="1:3" x14ac:dyDescent="0.25">
      <c r="A19" s="23"/>
      <c r="B19" s="20"/>
      <c r="C19" s="16" t="str">
        <f>C6</f>
        <v>БИК 044525411 (ФИЛИАЛ "ЦЕНТРАЛЬНЫЙ" БАНКА ВТБ (ПАО) Г. МОСКВА)</v>
      </c>
    </row>
    <row r="20" spans="1:3" x14ac:dyDescent="0.25">
      <c r="A20" s="23"/>
      <c r="B20" s="20"/>
      <c r="C20" s="13" t="s">
        <v>14</v>
      </c>
    </row>
    <row r="21" spans="1:3" x14ac:dyDescent="0.25">
      <c r="A21" s="23"/>
      <c r="B21" s="20"/>
      <c r="C21" s="27" t="str">
        <f>C8</f>
        <v>ФИО: ; Адрес: ; Назначение: Оплата за АДО и тех. обслуж-е</v>
      </c>
    </row>
    <row r="22" spans="1:3" ht="9" customHeight="1" x14ac:dyDescent="0.25">
      <c r="A22" s="23"/>
      <c r="B22" s="20"/>
      <c r="C22" s="31" t="s">
        <v>17</v>
      </c>
    </row>
    <row r="23" spans="1:3" x14ac:dyDescent="0.25">
      <c r="A23" s="23"/>
      <c r="B23" s="25"/>
      <c r="C23" s="30" t="str">
        <f>C10</f>
        <v>Сумма: 0 руб. 00 коп.</v>
      </c>
    </row>
    <row r="24" spans="1:3" ht="9" customHeight="1" x14ac:dyDescent="0.25">
      <c r="A24" s="23"/>
      <c r="B24" s="25"/>
      <c r="C24" s="29" t="s">
        <v>18</v>
      </c>
    </row>
    <row r="25" spans="1:3" x14ac:dyDescent="0.25">
      <c r="A25" s="23"/>
      <c r="B25" s="25"/>
      <c r="C25" s="18" t="s">
        <v>10</v>
      </c>
    </row>
    <row r="26" spans="1:3" x14ac:dyDescent="0.25">
      <c r="A26" s="26"/>
      <c r="B26" s="8"/>
      <c r="C26" s="19" t="s">
        <v>11</v>
      </c>
    </row>
    <row r="27" spans="1:3" x14ac:dyDescent="0.25">
      <c r="A27" s="40"/>
      <c r="B27" s="40"/>
      <c r="C27" s="40"/>
    </row>
  </sheetData>
  <mergeCells count="1">
    <mergeCell ref="A27:C27"/>
  </mergeCells>
  <pageMargins left="0.39370078740157499" right="0.39370078740157499" top="0.39370078740157499" bottom="0.39370078740157499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>
    <pageSetUpPr fitToPage="1"/>
  </sheetPr>
  <dimension ref="A1:C648"/>
  <sheetViews>
    <sheetView workbookViewId="0">
      <selection activeCell="C8" sqref="C8 C10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x14ac:dyDescent="0.25">
      <c r="A1" s="33"/>
      <c r="B1" s="32"/>
      <c r="C1" s="11" t="s">
        <v>21</v>
      </c>
    </row>
    <row r="2" spans="1:3" x14ac:dyDescent="0.25">
      <c r="A2" s="23"/>
      <c r="B2" s="21" t="s">
        <v>6</v>
      </c>
      <c r="C2" s="12" t="str">
        <f>Name</f>
        <v>ООО "Арзамасгоргаз"</v>
      </c>
    </row>
    <row r="3" spans="1:3" x14ac:dyDescent="0.25">
      <c r="A3" s="23"/>
      <c r="B3" s="20"/>
      <c r="C3" s="13" t="s">
        <v>7</v>
      </c>
    </row>
    <row r="4" spans="1:3" x14ac:dyDescent="0.25">
      <c r="A4" s="23"/>
      <c r="B4" s="20"/>
      <c r="C4" s="14" t="str">
        <f>"  ИНН "&amp;INN&amp;" КПП "&amp;KPP&amp;"            "&amp;PersonalAcc</f>
        <v xml:space="preserve">  ИНН 5243011758 КПП 524301001            40702810517500000015</v>
      </c>
    </row>
    <row r="5" spans="1:3" x14ac:dyDescent="0.25">
      <c r="A5" s="23"/>
      <c r="B5" s="20"/>
      <c r="C5" s="15" t="s">
        <v>8</v>
      </c>
    </row>
    <row r="6" spans="1:3" x14ac:dyDescent="0.25">
      <c r="A6" s="23"/>
      <c r="B6" s="20"/>
      <c r="C6" s="16" t="str">
        <f>"БИК "&amp;BIC&amp;" ("&amp;BankName&amp;")"</f>
        <v>БИК 044525411 (ФИЛИАЛ "ЦЕНТРАЛЬНЫЙ" БАНКА ВТБ (ПАО) Г. МОСКВА)</v>
      </c>
    </row>
    <row r="7" spans="1:3" x14ac:dyDescent="0.25">
      <c r="A7" s="23"/>
      <c r="B7" s="20"/>
      <c r="C7" s="13" t="s">
        <v>9</v>
      </c>
    </row>
    <row r="8" spans="1:3" x14ac:dyDescent="0.25">
      <c r="A8" s="23"/>
      <c r="B8" s="20"/>
      <c r="C8" s="17"/>
    </row>
    <row r="9" spans="1:3" ht="9" customHeight="1" x14ac:dyDescent="0.25">
      <c r="A9" s="23"/>
      <c r="B9" s="20"/>
      <c r="C9" s="13" t="s">
        <v>17</v>
      </c>
    </row>
    <row r="10" spans="1:3" x14ac:dyDescent="0.25">
      <c r="A10" s="23"/>
      <c r="B10" s="20"/>
      <c r="C10" s="30"/>
    </row>
    <row r="11" spans="1:3" ht="9" customHeight="1" x14ac:dyDescent="0.25">
      <c r="A11" s="23"/>
      <c r="B11" s="22"/>
      <c r="C11" s="28" t="s">
        <v>18</v>
      </c>
    </row>
    <row r="12" spans="1:3" x14ac:dyDescent="0.25">
      <c r="A12" s="23"/>
      <c r="B12" s="20"/>
      <c r="C12" s="18" t="s">
        <v>10</v>
      </c>
    </row>
    <row r="13" spans="1:3" x14ac:dyDescent="0.25">
      <c r="A13" s="26"/>
      <c r="B13" s="24"/>
      <c r="C13" s="19" t="s">
        <v>11</v>
      </c>
    </row>
    <row r="14" spans="1:3" x14ac:dyDescent="0.25">
      <c r="A14" s="23"/>
      <c r="B14" s="20"/>
      <c r="C14" s="11" t="s">
        <v>21</v>
      </c>
    </row>
    <row r="15" spans="1:3" x14ac:dyDescent="0.25">
      <c r="A15" s="23"/>
      <c r="B15" s="21" t="s">
        <v>12</v>
      </c>
      <c r="C15" s="12" t="str">
        <f>C2</f>
        <v>ООО "Арзамасгоргаз"</v>
      </c>
    </row>
    <row r="16" spans="1:3" x14ac:dyDescent="0.25">
      <c r="A16" s="23"/>
      <c r="B16" s="20"/>
      <c r="C16" s="13" t="s">
        <v>7</v>
      </c>
    </row>
    <row r="17" spans="1:3" x14ac:dyDescent="0.25">
      <c r="A17" s="23"/>
      <c r="B17" s="20"/>
      <c r="C17" s="14" t="str">
        <f>C4</f>
        <v xml:space="preserve">  ИНН 5243011758 КПП 524301001            40702810517500000015</v>
      </c>
    </row>
    <row r="18" spans="1:3" x14ac:dyDescent="0.25">
      <c r="A18" s="23"/>
      <c r="B18" s="20"/>
      <c r="C18" s="15" t="s">
        <v>13</v>
      </c>
    </row>
    <row r="19" spans="1:3" x14ac:dyDescent="0.25">
      <c r="A19" s="23"/>
      <c r="B19" s="20"/>
      <c r="C19" s="16" t="str">
        <f>C6</f>
        <v>БИК 044525411 (ФИЛИАЛ "ЦЕНТРАЛЬНЫЙ" БАНКА ВТБ (ПАО) Г. МОСКВА)</v>
      </c>
    </row>
    <row r="20" spans="1:3" x14ac:dyDescent="0.25">
      <c r="A20" s="23"/>
      <c r="B20" s="20"/>
      <c r="C20" s="13" t="s">
        <v>14</v>
      </c>
    </row>
    <row r="21" spans="1:3" x14ac:dyDescent="0.25">
      <c r="A21" s="23"/>
      <c r="B21" s="20"/>
      <c r="C21" s="27">
        <f>C8</f>
        <v>0</v>
      </c>
    </row>
    <row r="22" spans="1:3" ht="9" customHeight="1" x14ac:dyDescent="0.25">
      <c r="A22" s="23"/>
      <c r="B22" s="20"/>
      <c r="C22" s="31" t="s">
        <v>17</v>
      </c>
    </row>
    <row r="23" spans="1:3" x14ac:dyDescent="0.25">
      <c r="A23" s="23"/>
      <c r="B23" s="25"/>
      <c r="C23" s="30">
        <f>C10</f>
        <v>0</v>
      </c>
    </row>
    <row r="24" spans="1:3" ht="9" customHeight="1" x14ac:dyDescent="0.25">
      <c r="A24" s="23"/>
      <c r="B24" s="25"/>
      <c r="C24" s="29" t="s">
        <v>18</v>
      </c>
    </row>
    <row r="25" spans="1:3" x14ac:dyDescent="0.25">
      <c r="A25" s="23"/>
      <c r="B25" s="25"/>
      <c r="C25" s="18" t="s">
        <v>10</v>
      </c>
    </row>
    <row r="26" spans="1:3" x14ac:dyDescent="0.25">
      <c r="A26" s="26"/>
      <c r="B26" s="8"/>
      <c r="C26" s="19" t="s">
        <v>11</v>
      </c>
    </row>
    <row r="27" spans="1:3" ht="9" customHeight="1" x14ac:dyDescent="0.25">
      <c r="A27" s="40"/>
      <c r="B27" s="40"/>
      <c r="C27" s="40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B1C516B7-F6C1-433E-AF82-3B973188ED6D}">
  <ds:schemaRefs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11</vt:i4>
      </vt:variant>
    </vt:vector>
  </HeadingPairs>
  <TitlesOfParts>
    <vt:vector size="15" baseType="lpstr">
      <vt:lpstr>Реестр начислений</vt:lpstr>
      <vt:lpstr>Настройки</vt:lpstr>
      <vt:lpstr>Квитанция ПД4</vt:lpstr>
      <vt:lpstr>Шаблон ПД4</vt:lpstr>
      <vt:lpstr>BankName</vt:lpstr>
      <vt:lpstr>BIC</vt:lpstr>
      <vt:lpstr>CorrespAcc</vt:lpstr>
      <vt:lpstr>INN</vt:lpstr>
      <vt:lpstr>KPP</vt:lpstr>
      <vt:lpstr>Name</vt:lpstr>
      <vt:lpstr>PD4Purpose</vt:lpstr>
      <vt:lpstr>PD4Shanlon</vt:lpstr>
      <vt:lpstr>PD4Sum</vt:lpstr>
      <vt:lpstr>PersonalAcc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</dc:creator>
  <cp:lastModifiedBy>sysadmin</cp:lastModifiedBy>
  <cp:lastPrinted>2020-02-27T11:51:37Z</cp:lastPrinted>
  <dcterms:created xsi:type="dcterms:W3CDTF">2012-02-27T08:19:11Z</dcterms:created>
  <dcterms:modified xsi:type="dcterms:W3CDTF">2021-05-05T05:08:15Z</dcterms:modified>
</cp:coreProperties>
</file>