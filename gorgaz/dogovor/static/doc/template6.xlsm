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12\"/>
    </mc:Choice>
  </mc:AlternateContent>
  <xr:revisionPtr revIDLastSave="0" documentId="13_ncr:1_{FEA5D650-4A0A-4744-B042-7F50E196767A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Реестр начислений" sheetId="1" r:id="rId1"/>
    <sheet name="Настройки" sheetId="6" r:id="rId2"/>
    <sheet name="Шаблон ДШК" sheetId="4" state="hidden" r:id="rId3"/>
    <sheet name="Шаблон ПД4" sheetId="7" state="hidden" r:id="rId4"/>
    <sheet name="вер. 3.00 от 21.12.2016" sheetId="3" r:id="rId5"/>
    <sheet name="Карточки ДШК" sheetId="115" r:id="rId6"/>
    <sheet name="Квитанция ПД4" sheetId="159" r:id="rId7"/>
  </sheets>
  <functionGroups builtInGroupCount="19"/>
  <definedNames>
    <definedName name="BankName">Настройки!$B$8</definedName>
    <definedName name="BIC">Настройки!$B$6</definedName>
    <definedName name="CorrespAcc">Настройки!$B$7</definedName>
    <definedName name="DopParShk">Настройки!$B$12</definedName>
    <definedName name="ExportPath">Настройки!$B$11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Shanlon">'Шаблон ПД4'!$A$1:$C$27</definedName>
    <definedName name="PD4Sum">'Шаблон ПД4'!$C$10</definedName>
    <definedName name="PersonalAcc">Настройки!$B$9</definedName>
    <definedName name="ReestrName">'Реестр начислений'!$B$1</definedName>
    <definedName name="Shablon">Настройки!$B$2</definedName>
    <definedName name="СorrespAcc">Настройки!$B$7</definedName>
  </definedNames>
  <calcPr calcId="181029"/>
</workbook>
</file>

<file path=xl/calcChain.xml><?xml version="1.0" encoding="utf-8"?>
<calcChain xmlns="http://schemas.openxmlformats.org/spreadsheetml/2006/main">
  <c r="C23" i="159" l="1"/>
  <c r="C21" i="159"/>
  <c r="C19" i="159"/>
  <c r="C17" i="159"/>
  <c r="C15" i="159"/>
  <c r="C6" i="159"/>
  <c r="C4" i="159"/>
  <c r="C2" i="159"/>
  <c r="B3" i="1"/>
  <c r="B2" i="1"/>
  <c r="Y47" i="115"/>
  <c r="B47" i="115"/>
  <c r="X44" i="115"/>
  <c r="A44" i="115"/>
  <c r="Y26" i="115"/>
  <c r="B26" i="115"/>
  <c r="X23" i="115"/>
  <c r="A23" i="115"/>
  <c r="Y5" i="115"/>
  <c r="B5" i="115"/>
  <c r="X2" i="115"/>
  <c r="A2" i="115"/>
  <c r="B1" i="1" l="1"/>
  <c r="Y47" i="4" l="1"/>
  <c r="B47" i="4"/>
  <c r="X44" i="4"/>
  <c r="A44" i="4"/>
  <c r="Y26" i="4"/>
  <c r="B26" i="4"/>
  <c r="X23" i="4"/>
  <c r="A23" i="4"/>
  <c r="Y5" i="4"/>
  <c r="B5" i="4"/>
  <c r="X2" i="4"/>
  <c r="A2" i="4"/>
  <c r="C4" i="7" l="1"/>
  <c r="C23" i="7" l="1"/>
  <c r="C6" i="7"/>
  <c r="C19" i="7" s="1"/>
  <c r="C21" i="7"/>
  <c r="C2" i="7"/>
  <c r="C15" i="7" s="1"/>
  <c r="C17" i="7"/>
</calcChain>
</file>

<file path=xl/sharedStrings.xml><?xml version="1.0" encoding="utf-8"?>
<sst xmlns="http://schemas.openxmlformats.org/spreadsheetml/2006/main" count="160" uniqueCount="131">
  <si>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</si>
  <si>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</si>
  <si>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</si>
  <si>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</si>
  <si>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</si>
  <si>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</si>
  <si>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</si>
  <si>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</si>
  <si>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</si>
  <si>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</si>
  <si>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</si>
  <si>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</si>
  <si>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</si>
  <si>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</si>
  <si>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</si>
  <si>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</si>
  <si>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</si>
  <si>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</si>
  <si>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</si>
  <si>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</si>
  <si>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</si>
  <si>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</si>
  <si>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</si>
  <si>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</si>
  <si>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</si>
  <si>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Лицевой счет;ФИО;Адрес;КБК;ОКТМО;Сумма</t>
  </si>
  <si>
    <t>Шаблон 3.16</t>
  </si>
  <si>
    <t>Лицевой счет;ФИО;Наименование МОУ;Группа/Кружок;КБК;ОКТМО;Сумма</t>
  </si>
  <si>
    <t>Шаблон 8.1</t>
  </si>
  <si>
    <t>Лицевой счет;Адрес;Сумма</t>
  </si>
  <si>
    <t>Шаблон 10.1</t>
  </si>
  <si>
    <t>Шаблон 10.2</t>
  </si>
  <si>
    <t>Шаблон 10.5</t>
  </si>
  <si>
    <t>Лицевой счет;ФИО;Адрес;Сумма;Назначение</t>
  </si>
  <si>
    <t>Лицевой счет;ФИО;Адрес;Период;Сумма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</si>
  <si>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</si>
  <si>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</si>
  <si>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</si>
  <si>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</si>
  <si>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</si>
  <si>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</si>
  <si>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</si>
  <si>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</si>
  <si>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</si>
  <si>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</si>
  <si>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</si>
  <si>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</si>
  <si>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</si>
  <si>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</si>
  <si>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</si>
  <si>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</si>
  <si>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t xml:space="preserve">банка, ознакомлен и согласен.                    Подпись плательщика </t>
    </r>
    <r>
      <rPr>
        <u/>
        <sz val="7"/>
        <rFont val="Arial Cyr"/>
        <charset val="204"/>
      </rPr>
      <t xml:space="preserve">                                       \</t>
    </r>
  </si>
  <si>
    <t>Квитанция</t>
  </si>
  <si>
    <t xml:space="preserve">  (инн получателя платежа)                                                            (номер счёта получателя платежа)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</si>
  <si>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</si>
  <si>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</si>
  <si>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</si>
  <si>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</si>
  <si>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</si>
  <si>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</si>
  <si>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</si>
  <si>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</si>
  <si>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</si>
  <si>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</si>
  <si>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</si>
  <si>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</si>
  <si>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</si>
  <si>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</si>
  <si>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</si>
  <si>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</si>
  <si>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</si>
  <si>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</si>
  <si>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</si>
  <si>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</si>
  <si>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</si>
  <si>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ФИО;Адрес;ФИО ребенка;Сумма</t>
  </si>
  <si>
    <t>Шаблон 3.3</t>
  </si>
  <si>
    <t>ФИО студента;ФИО;Номер группы;Номер договора;Период;Сумма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</si>
  <si>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</si>
  <si>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</si>
  <si>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</si>
  <si>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</si>
  <si>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</si>
  <si>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</si>
  <si>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Шаблон 3.8</t>
  </si>
  <si>
    <t>ФИО;Адрес;Назначение;КБК;ОКТМО;Сумма</t>
  </si>
  <si>
    <t>Шаблон 3.9</t>
  </si>
  <si>
    <t>ФИО;Адрес;Тип средств;Назначение;КБК;ОКТМО;Сумма</t>
  </si>
  <si>
    <t>Шаблон 3.10</t>
  </si>
  <si>
    <t>ФИО;ФИО ребенка;Адрес;Номер группы;Лицевой счет;Назначение;Сумма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</si>
  <si>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</si>
  <si>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</si>
  <si>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</si>
  <si>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</si>
  <si>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</si>
  <si>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</si>
  <si>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</si>
  <si>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</si>
  <si>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</si>
  <si>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</si>
  <si>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</si>
  <si>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</si>
  <si>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</si>
  <si>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</si>
  <si>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3.8 (ФБЗ)</t>
  </si>
  <si>
    <t>Лицевой счет;ФИО;Адрес;Период;Сумма;Наименование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</si>
  <si>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</si>
  <si>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</si>
  <si>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Сумма</t>
  </si>
  <si>
    <t>-----------------------------------------------------------------------------------------------------------------</t>
  </si>
  <si>
    <t>ПАО СБЕРБАНК                                                                            Форма №ПД-4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</si>
  <si>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</si>
  <si>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</si>
  <si>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</si>
  <si>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</si>
  <si>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</si>
  <si>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ребенка;Сумма</t>
  </si>
  <si>
    <t>ФИО</t>
  </si>
  <si>
    <t>Назначение</t>
  </si>
  <si>
    <t>Адрес</t>
  </si>
  <si>
    <t>ООО "Арзамасгоргаз"</t>
  </si>
  <si>
    <t>5243011758</t>
  </si>
  <si>
    <t>524301001</t>
  </si>
  <si>
    <t>Иванов Иван Иванович</t>
  </si>
  <si>
    <t>г. Арзамас, ул. Ленина, д. 104</t>
  </si>
  <si>
    <t>Сумма: 515.00</t>
  </si>
  <si>
    <t>044525411</t>
  </si>
  <si>
    <t>40702810517500000015</t>
  </si>
  <si>
    <t>30101810145250000411</t>
  </si>
  <si>
    <t>ФИЛИАЛ "ЦЕНТРАЛЬНЫЙ" БАНКА ВТБ (ПАО) Г. МОСКВА</t>
  </si>
  <si>
    <t>Тех. Обслуж. и АДО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</si>
</sst>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2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u/>
      <sz val="7"/>
      <name val="Arial Cyr"/>
      <charset val="204"/>
    </font>
    <font>
      <sz val="10"/>
      <color theme="1"/>
      <name val="Arial Cyr"/>
      <charset val="204"/>
    </font>
    <font>
      <sz val="7"/>
      <color indexed="8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14"/>
      <color rgb="FFC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9" fillId="0" borderId="0"/>
  </cellStyleXfs>
  <cellXfs count="76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6" fillId="0" borderId="0" xfId="0" applyFont="1" applyAlignment="1">
      <alignment horizontal="left" vertical="center" indent="4"/>
    </xf>
    <xf numFmtId="0" fontId="7" fillId="0" borderId="0" xfId="0" applyFont="1" applyAlignment="1">
      <alignment horizontal="left" vertical="center" indent="1"/>
    </xf>
    <xf numFmtId="0" fontId="9" fillId="0" borderId="2" xfId="1" applyBorder="1"/>
    <xf numFmtId="0" fontId="9" fillId="0" borderId="3" xfId="1" applyBorder="1"/>
    <xf numFmtId="0" fontId="9" fillId="0" borderId="4" xfId="1" applyBorder="1"/>
    <xf numFmtId="0" fontId="9" fillId="0" borderId="0" xfId="1" applyBorder="1"/>
    <xf numFmtId="0" fontId="9" fillId="0" borderId="0" xfId="1"/>
    <xf numFmtId="0" fontId="9" fillId="0" borderId="5" xfId="1" applyBorder="1"/>
    <xf numFmtId="0" fontId="9" fillId="0" borderId="6" xfId="1" applyBorder="1"/>
    <xf numFmtId="0" fontId="9" fillId="0" borderId="7" xfId="1" applyBorder="1"/>
    <xf numFmtId="0" fontId="9" fillId="0" borderId="8" xfId="1" applyBorder="1"/>
    <xf numFmtId="0" fontId="9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NumberFormat="1" applyFont="1" applyAlignment="1" applyProtection="1">
      <alignment horizontal="left" vertical="center"/>
      <protection locked="0"/>
    </xf>
    <xf numFmtId="49" fontId="14" fillId="2" borderId="10" xfId="0" applyNumberFormat="1" applyFont="1" applyFill="1" applyBorder="1" applyAlignment="1">
      <alignment horizontal="center" vertical="center" wrapText="1"/>
    </xf>
    <xf numFmtId="0" fontId="0" fillId="0" borderId="12" xfId="0" applyBorder="1" applyProtection="1"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16" fillId="0" borderId="13" xfId="0" applyNumberFormat="1" applyFont="1" applyBorder="1"/>
    <xf numFmtId="0" fontId="9" fillId="0" borderId="12" xfId="0" applyNumberFormat="1" applyFont="1" applyBorder="1" applyAlignment="1" applyProtection="1">
      <alignment horizontal="center" wrapText="1"/>
      <protection locked="0"/>
    </xf>
    <xf numFmtId="0" fontId="17" fillId="0" borderId="14" xfId="0" applyNumberFormat="1" applyFont="1" applyBorder="1" applyAlignment="1">
      <alignment horizontal="center" vertical="top"/>
    </xf>
    <xf numFmtId="0" fontId="9" fillId="0" borderId="12" xfId="0" applyNumberFormat="1" applyFont="1" applyBorder="1" applyAlignment="1">
      <alignment horizontal="left"/>
    </xf>
    <xf numFmtId="0" fontId="17" fillId="0" borderId="14" xfId="0" applyNumberFormat="1" applyFont="1" applyBorder="1" applyAlignment="1">
      <alignment vertical="top"/>
    </xf>
    <xf numFmtId="0" fontId="9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>
      <alignment horizontal="center" wrapText="1"/>
    </xf>
    <xf numFmtId="0" fontId="17" fillId="0" borderId="14" xfId="0" applyNumberFormat="1" applyFont="1" applyBorder="1"/>
    <xf numFmtId="0" fontId="17" fillId="0" borderId="12" xfId="0" applyNumberFormat="1" applyFont="1" applyBorder="1"/>
    <xf numFmtId="0" fontId="15" fillId="0" borderId="14" xfId="0" applyNumberFormat="1" applyFont="1" applyBorder="1" applyProtection="1">
      <protection locked="0"/>
    </xf>
    <xf numFmtId="0" fontId="15" fillId="0" borderId="14" xfId="0" applyNumberFormat="1" applyFont="1" applyBorder="1" applyAlignment="1" applyProtection="1">
      <alignment horizontal="center"/>
      <protection locked="0"/>
    </xf>
    <xf numFmtId="0" fontId="0" fillId="0" borderId="14" xfId="0" applyBorder="1"/>
    <xf numFmtId="0" fontId="0" fillId="0" borderId="11" xfId="0" applyBorder="1"/>
    <xf numFmtId="0" fontId="15" fillId="0" borderId="12" xfId="0" applyNumberFormat="1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/>
    <xf numFmtId="0" fontId="19" fillId="0" borderId="10" xfId="0" applyNumberFormat="1" applyFont="1" applyBorder="1" applyAlignment="1">
      <alignment horizontal="center" wrapText="1" shrinkToFit="1"/>
    </xf>
    <xf numFmtId="0" fontId="20" fillId="0" borderId="16" xfId="0" applyNumberFormat="1" applyFont="1" applyBorder="1" applyAlignment="1">
      <alignment horizontal="center" vertical="top"/>
    </xf>
    <xf numFmtId="0" fontId="20" fillId="0" borderId="14" xfId="0" applyNumberFormat="1" applyFont="1" applyBorder="1" applyAlignment="1">
      <alignment horizontal="center" vertical="top"/>
    </xf>
    <xf numFmtId="0" fontId="15" fillId="0" borderId="10" xfId="0" applyNumberFormat="1" applyFont="1" applyBorder="1" applyAlignment="1">
      <alignment horizontal="center"/>
    </xf>
    <xf numFmtId="0" fontId="17" fillId="0" borderId="17" xfId="0" applyNumberFormat="1" applyFont="1" applyBorder="1" applyAlignment="1">
      <alignment horizontal="center" vertical="top"/>
    </xf>
    <xf numFmtId="0" fontId="15" fillId="0" borderId="13" xfId="0" applyNumberFormat="1" applyFont="1" applyBorder="1" applyProtection="1">
      <protection locked="0"/>
    </xf>
    <xf numFmtId="0" fontId="0" fillId="0" borderId="18" xfId="0" applyBorder="1"/>
    <xf numFmtId="0" fontId="9" fillId="0" borderId="0" xfId="1" applyFont="1" applyBorder="1" applyAlignment="1">
      <alignment vertical="center"/>
    </xf>
    <xf numFmtId="0" fontId="5" fillId="0" borderId="0" xfId="0" applyFont="1" applyProtection="1">
      <protection locked="0"/>
    </xf>
    <xf numFmtId="49" fontId="5" fillId="3" borderId="20" xfId="0" applyNumberFormat="1" applyFont="1" applyFill="1" applyBorder="1" applyAlignment="1" applyProtection="1">
      <alignment horizontal="right" vertical="top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49" fontId="3" fillId="3" borderId="11" xfId="0" applyNumberFormat="1" applyFont="1" applyFill="1" applyBorder="1" applyAlignment="1" applyProtection="1">
      <alignment horizontal="right" vertical="top"/>
      <protection locked="0"/>
    </xf>
    <xf numFmtId="49" fontId="3" fillId="3" borderId="0" xfId="0" applyNumberFormat="1" applyFont="1" applyFill="1" applyBorder="1" applyAlignment="1" applyProtection="1">
      <alignment horizontal="right" vertical="top"/>
      <protection locked="0"/>
    </xf>
    <xf numFmtId="2" fontId="3" fillId="3" borderId="0" xfId="0" applyNumberFormat="1" applyFont="1" applyFill="1" applyBorder="1" applyAlignment="1" applyProtection="1">
      <alignment horizontal="right" vertical="top"/>
      <protection locked="0"/>
    </xf>
    <xf numFmtId="2" fontId="23" fillId="0" borderId="0" xfId="0" applyNumberFormat="1" applyFont="1"/>
    <xf numFmtId="4" fontId="10" fillId="0" borderId="0" xfId="1" applyNumberFormat="1" applyFont="1" applyBorder="1" applyAlignment="1">
      <alignment horizontal="right" vertical="center" wrapText="1"/>
    </xf>
    <xf numFmtId="4" fontId="11" fillId="0" borderId="0" xfId="0" applyNumberFormat="1" applyFont="1" applyBorder="1" applyAlignment="1">
      <alignment horizontal="right" vertical="center" wrapText="1"/>
    </xf>
    <xf numFmtId="0" fontId="10" fillId="0" borderId="0" xfId="1" applyFont="1" applyBorder="1" applyAlignment="1">
      <alignment vertical="top" wrapText="1"/>
    </xf>
    <xf numFmtId="0" fontId="11" fillId="0" borderId="0" xfId="0" applyFont="1" applyBorder="1" applyAlignment="1">
      <alignment vertical="top" wrapText="1"/>
    </xf>
    <xf numFmtId="0" fontId="0" fillId="0" borderId="8" xfId="0" applyBorder="1" applyAlignment="1"/>
    <xf numFmtId="0" fontId="21" fillId="0" borderId="5" xfId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9" fillId="0" borderId="0" xfId="1" applyFont="1" applyBorder="1" applyAlignment="1">
      <alignment horizontal="center" vertical="center" wrapText="1"/>
    </xf>
    <xf numFmtId="0" fontId="9" fillId="0" borderId="0" xfId="1" applyNumberFormat="1" applyFont="1" applyBorder="1" applyAlignment="1">
      <alignment horizontal="center" vertical="center" wrapText="1"/>
    </xf>
    <xf numFmtId="0" fontId="21" fillId="0" borderId="0" xfId="1" applyFont="1" applyBorder="1" applyAlignment="1">
      <alignment horizontal="center" vertical="center" wrapText="1"/>
    </xf>
    <xf numFmtId="0" fontId="21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</cellXfs>
  <cellStyles count="2">
    <cellStyle name="Обычный" xfId="0" builtinId="0"/>
    <cellStyle name="Обычный_Книга1" xfId="1" xr:uid="{00000000-0005-0000-0000-000001000000}"/>
  </cellStyles>
  <dxfs count="15"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protection locked="0" hidden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D:\12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0</xdr:col>
          <xdr:colOff>2038350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2133600</xdr:colOff>
          <xdr:row>3</xdr:row>
          <xdr:rowOff>190500</xdr:rowOff>
        </xdr:from>
        <xdr:to>
          <xdr:col>1</xdr:col>
          <xdr:colOff>2114550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2181225</xdr:colOff>
          <xdr:row>3</xdr:row>
          <xdr:rowOff>190500</xdr:rowOff>
        </xdr:from>
        <xdr:to>
          <xdr:col>2</xdr:col>
          <xdr:colOff>1666875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180975</xdr:rowOff>
        </xdr:from>
        <xdr:to>
          <xdr:col>3</xdr:col>
          <xdr:colOff>676275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9</xdr:row>
          <xdr:rowOff>171450</xdr:rowOff>
        </xdr:from>
        <xdr:to>
          <xdr:col>4</xdr:col>
          <xdr:colOff>38100</xdr:colOff>
          <xdr:row>10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285750</xdr:colOff>
      <xdr:row>16</xdr:row>
      <xdr:rowOff>47625</xdr:rowOff>
    </xdr:to>
    <xdr:pic>
      <xdr:nvPicPr>
        <xdr:cNvPr id="2" name="Рисунок 1" descr="qrcode.B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0" y="485775"/>
          <a:ext cx="1314450" cy="13144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1314450</xdr:colOff>
      <xdr:row>23</xdr:row>
      <xdr:rowOff>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5" y="3162300"/>
          <a:ext cx="1314450" cy="1314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Реестр" displayName="Реестр" ref="A6:D7" headerRowDxfId="14" dataDxfId="12" totalsRowDxfId="10" headerRowBorderDxfId="13" tableBorderDxfId="11">
  <autoFilter ref="A6:D7" xr:uid="{00000000-0009-0000-0100-000002000000}"/>
  <tableColumns count="4">
    <tableColumn id="1" xr3:uid="{00000000-0010-0000-0000-000001000000}" name="ФИО" totalsRowLabel="Итог" dataDxfId="9" totalsRowDxfId="8"/>
    <tableColumn id="2" xr3:uid="{00000000-0010-0000-0000-000002000000}" name="Адрес" dataDxfId="7" totalsRowDxfId="6"/>
    <tableColumn id="3" xr3:uid="{00000000-0010-0000-0000-000003000000}" name="Назначение" dataDxfId="5" totalsRowDxfId="4"/>
    <tableColumn id="4" xr3:uid="{00000000-0010-0000-0000-000004000000}" name="Сумма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B12" totalsRowShown="0">
  <autoFilter ref="A1:B12" xr:uid="{00000000-0009-0000-0100-000001000000}"/>
  <tableColumns count="2">
    <tableColumn id="1" xr3:uid="{00000000-0010-0000-0100-000001000000}" name="Параметр" dataDxfId="1"/>
    <tableColumn id="2" xr3:uid="{00000000-0010-0000-0100-000002000000}" name="Значение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Шаблоны" displayName="Шаблоны" ref="T1:T40" totalsRowShown="0">
  <autoFilter ref="T1:T40" xr:uid="{00000000-0009-0000-0100-000003000000}"/>
  <tableColumns count="1">
    <tableColumn id="1" xr3:uid="{00000000-0010-0000-0200-000001000000}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СписокПолейШаблонов" displayName="СписокПолейШаблонов" ref="V1:V40" totalsRowShown="0">
  <autoFilter ref="V1:V40" xr:uid="{00000000-0009-0000-0100-000004000000}"/>
  <tableColumns count="1">
    <tableColumn id="1" xr3:uid="{00000000-0010-0000-0300-000001000000}" name="Поля шаблон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97"/>
  <sheetViews>
    <sheetView tabSelected="1" workbookViewId="0">
      <pane ySplit="6" topLeftCell="A7" activePane="bottomLeft" state="frozen"/>
      <selection activeCell="A2" sqref="A2"/>
      <selection pane="bottomLeft" activeCell="A7" sqref="A7"/>
    </sheetView>
  </sheetViews>
  <sheetFormatPr defaultRowHeight="15.75" x14ac:dyDescent="0.25"/>
  <cols>
    <col min="1" max="1" width="30.625" style="4" customWidth="1"/>
    <col min="2" max="2" width="32.25" style="4" customWidth="1"/>
    <col min="3" max="3" width="29" style="4" customWidth="1"/>
    <col min="4" max="4" width="15.625" style="4" customWidth="1"/>
    <col min="5" max="8" width="15.625" style="5" customWidth="1"/>
    <col min="9" max="10" width="9" style="5"/>
    <col min="11" max="12" width="15.625" style="5" customWidth="1"/>
    <col min="13" max="16384" width="9" style="5"/>
  </cols>
  <sheetData>
    <row r="1" spans="1:4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Настройки!B4&amp;"_"&amp;Настройки!B9&amp;"_"&amp;Настройки!B10&amp;"_"&amp;TEXT(TODAY(),"ММГГ")&amp;".TXT"</f>
        <v>5243011758_40702810517500000015__0421.TXT</v>
      </c>
      <c r="C1" s="24"/>
      <c r="D1" s="24"/>
    </row>
    <row r="2" spans="1:4" customFormat="1" ht="15.75" customHeight="1" x14ac:dyDescent="0.25">
      <c r="A2" s="22" t="s">
        <v>18</v>
      </c>
      <c r="B2" s="20">
        <f>SUM(Реестр[Сумма])</f>
        <v>0</v>
      </c>
      <c r="C2" s="1"/>
      <c r="D2" s="4"/>
    </row>
    <row r="3" spans="1:4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4" customFormat="1" x14ac:dyDescent="0.25">
      <c r="A4" s="4"/>
      <c r="B4" s="4"/>
      <c r="C4" s="3"/>
      <c r="D4" s="4"/>
    </row>
    <row r="5" spans="1:4" customFormat="1" ht="26.25" customHeight="1" x14ac:dyDescent="0.25">
      <c r="A5" s="6"/>
      <c r="B5" s="6"/>
      <c r="C5" s="6"/>
      <c r="D5" s="6"/>
    </row>
    <row r="6" spans="1:4" s="2" customFormat="1" ht="61.5" customHeight="1" x14ac:dyDescent="0.25">
      <c r="A6" s="27" t="s">
        <v>117</v>
      </c>
      <c r="B6" s="57" t="s">
        <v>119</v>
      </c>
      <c r="C6" s="57" t="s">
        <v>118</v>
      </c>
      <c r="D6" s="57" t="s">
        <v>108</v>
      </c>
    </row>
    <row r="7" spans="1:4" x14ac:dyDescent="0.25">
      <c r="A7" s="56"/>
      <c r="B7" s="58"/>
      <c r="C7" s="59" t="s">
        <v>130</v>
      </c>
      <c r="D7" s="60">
        <v>0</v>
      </c>
    </row>
    <row r="95" spans="1:12" x14ac:dyDescent="0.25">
      <c r="E95" s="55"/>
      <c r="F95" s="55"/>
      <c r="G95" s="55"/>
      <c r="H95" s="55"/>
      <c r="I95" s="55"/>
      <c r="J95" s="55"/>
      <c r="K95" s="55"/>
      <c r="L95" s="55"/>
    </row>
    <row r="96" spans="1:12" s="55" customFormat="1" x14ac:dyDescent="0.25">
      <c r="A96" s="4"/>
      <c r="B96" s="4"/>
      <c r="C96" s="4"/>
      <c r="D96" s="4"/>
    </row>
    <row r="97" spans="1:12" s="55" customFormat="1" x14ac:dyDescent="0.25">
      <c r="A97" s="4"/>
      <c r="B97" s="4"/>
      <c r="C97" s="4"/>
      <c r="D97" s="4"/>
      <c r="E97" s="5"/>
      <c r="F97" s="5"/>
      <c r="G97" s="5"/>
      <c r="H97" s="5"/>
      <c r="I97" s="5"/>
      <c r="J97" s="5"/>
      <c r="K97" s="5"/>
      <c r="L97" s="5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87" yWindow="691" count="5">
    <dataValidation type="textLength" allowBlank="1" showInputMessage="1" showErrorMessage="1" errorTitle="Некорректный ввод данных" error="Длина поля должна быть от 3 до 50 символов" prompt="Длина поля от 3 до 50 символов" sqref="A8:A1048576" xr:uid="{00000000-0002-0000-0000-000000000000}">
      <formula1>3</formula1>
      <formula2>50</formula2>
    </dataValidation>
    <dataValidation type="textLength" allowBlank="1" showInputMessage="1" showErrorMessage="1" error="Некорректное значения. Длина поля должна быть от 5 до 60 символов" prompt="Длина поля от 5 до 60 символов" sqref="B8:C1048576" xr:uid="{00000000-0002-0000-0000-000001000000}">
      <formula1>5</formula1>
      <formula2>60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A7" xr:uid="{00000000-0002-0000-0000-000002000000}">
      <formula1>3</formula1>
      <formula2>50</formula2>
    </dataValidation>
    <dataValidation type="textLength" allowBlank="1" showInputMessage="1" showErrorMessage="1" errorTitle="Внимание" error="Длина поля 'Адрес' должна быть от 3 до 50 символов" promptTitle="Внимание" prompt="Длина поля 'Адрес' должна быть от 3 до 50 символов" sqref="B7" xr:uid="{00000000-0002-0000-0000-000003000000}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D7" xr:uid="{00000000-0002-0000-00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0</xdr:col>
                    <xdr:colOff>2038350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0</xdr:col>
                    <xdr:colOff>2133600</xdr:colOff>
                    <xdr:row>3</xdr:row>
                    <xdr:rowOff>190500</xdr:rowOff>
                  </from>
                  <to>
                    <xdr:col>1</xdr:col>
                    <xdr:colOff>2114550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1</xdr:col>
                    <xdr:colOff>2181225</xdr:colOff>
                    <xdr:row>3</xdr:row>
                    <xdr:rowOff>190500</xdr:rowOff>
                  </from>
                  <to>
                    <xdr:col>2</xdr:col>
                    <xdr:colOff>1666875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V40"/>
  <sheetViews>
    <sheetView zoomScale="90" zoomScaleNormal="90" workbookViewId="0">
      <selection activeCell="B22" sqref="B22"/>
    </sheetView>
  </sheetViews>
  <sheetFormatPr defaultRowHeight="15.75" x14ac:dyDescent="0.25"/>
  <cols>
    <col min="1" max="1" width="40.875" customWidth="1"/>
    <col min="2" max="2" width="53.875" customWidth="1"/>
    <col min="5" max="5" width="11.75" customWidth="1"/>
    <col min="7" max="7" width="47.625" customWidth="1"/>
    <col min="20" max="20" width="25.5" customWidth="1"/>
    <col min="22" max="22" width="162.125" customWidth="1"/>
  </cols>
  <sheetData>
    <row r="1" spans="1:22" x14ac:dyDescent="0.25">
      <c r="A1" s="25" t="s">
        <v>3</v>
      </c>
      <c r="B1" s="25" t="s">
        <v>4</v>
      </c>
      <c r="T1" t="s">
        <v>16</v>
      </c>
      <c r="V1" t="s">
        <v>13</v>
      </c>
    </row>
    <row r="2" spans="1:22" x14ac:dyDescent="0.25">
      <c r="A2" s="30" t="s">
        <v>9</v>
      </c>
      <c r="B2" s="19" t="s">
        <v>70</v>
      </c>
      <c r="T2" t="s">
        <v>67</v>
      </c>
      <c r="V2" t="s">
        <v>68</v>
      </c>
    </row>
    <row r="3" spans="1:22" x14ac:dyDescent="0.25">
      <c r="A3" s="30" t="s">
        <v>1</v>
      </c>
      <c r="B3" s="19" t="s">
        <v>120</v>
      </c>
      <c r="T3" t="s">
        <v>61</v>
      </c>
      <c r="V3" t="s">
        <v>62</v>
      </c>
    </row>
    <row r="4" spans="1:22" x14ac:dyDescent="0.25">
      <c r="A4" s="30" t="s">
        <v>2</v>
      </c>
      <c r="B4" s="19" t="s">
        <v>121</v>
      </c>
      <c r="T4" t="s">
        <v>21</v>
      </c>
      <c r="V4" t="s">
        <v>22</v>
      </c>
    </row>
    <row r="5" spans="1:22" x14ac:dyDescent="0.25">
      <c r="A5" s="30" t="s">
        <v>55</v>
      </c>
      <c r="B5" s="19" t="s">
        <v>122</v>
      </c>
      <c r="T5" t="s">
        <v>69</v>
      </c>
      <c r="V5" t="s">
        <v>22</v>
      </c>
    </row>
    <row r="6" spans="1:22" x14ac:dyDescent="0.25">
      <c r="A6" s="30" t="s">
        <v>6</v>
      </c>
      <c r="B6" s="19" t="s">
        <v>126</v>
      </c>
      <c r="T6" t="s">
        <v>70</v>
      </c>
      <c r="V6" t="s">
        <v>71</v>
      </c>
    </row>
    <row r="7" spans="1:22" x14ac:dyDescent="0.25">
      <c r="A7" s="30" t="s">
        <v>59</v>
      </c>
      <c r="B7" s="19" t="s">
        <v>128</v>
      </c>
      <c r="T7" t="s">
        <v>72</v>
      </c>
      <c r="V7" t="s">
        <v>73</v>
      </c>
    </row>
    <row r="8" spans="1:22" ht="21" customHeight="1" x14ac:dyDescent="0.25">
      <c r="A8" s="30" t="s">
        <v>56</v>
      </c>
      <c r="B8" s="29" t="s">
        <v>129</v>
      </c>
      <c r="T8" t="s">
        <v>74</v>
      </c>
      <c r="V8" t="s">
        <v>75</v>
      </c>
    </row>
    <row r="9" spans="1:22" x14ac:dyDescent="0.25">
      <c r="A9" s="30" t="s">
        <v>5</v>
      </c>
      <c r="B9" s="19" t="s">
        <v>127</v>
      </c>
      <c r="T9" t="s">
        <v>76</v>
      </c>
      <c r="V9" t="s">
        <v>77</v>
      </c>
    </row>
    <row r="10" spans="1:22" x14ac:dyDescent="0.25">
      <c r="A10" s="30" t="s">
        <v>7</v>
      </c>
      <c r="B10" s="19"/>
      <c r="T10" t="s">
        <v>63</v>
      </c>
      <c r="V10" t="s">
        <v>64</v>
      </c>
    </row>
    <row r="11" spans="1:22" x14ac:dyDescent="0.25">
      <c r="A11" s="30" t="s">
        <v>17</v>
      </c>
      <c r="B11" s="19"/>
      <c r="T11" t="s">
        <v>78</v>
      </c>
      <c r="V11" t="s">
        <v>79</v>
      </c>
    </row>
    <row r="12" spans="1:22" x14ac:dyDescent="0.25">
      <c r="A12" s="30" t="s">
        <v>60</v>
      </c>
      <c r="B12" s="19"/>
      <c r="T12" t="s">
        <v>80</v>
      </c>
      <c r="V12" t="s">
        <v>81</v>
      </c>
    </row>
    <row r="13" spans="1:22" x14ac:dyDescent="0.25">
      <c r="T13" t="s">
        <v>82</v>
      </c>
      <c r="V13" t="s">
        <v>83</v>
      </c>
    </row>
    <row r="14" spans="1:22" x14ac:dyDescent="0.25">
      <c r="T14" t="s">
        <v>84</v>
      </c>
      <c r="V14" t="s">
        <v>85</v>
      </c>
    </row>
    <row r="15" spans="1:22" x14ac:dyDescent="0.25">
      <c r="T15" t="s">
        <v>86</v>
      </c>
      <c r="V15" t="s">
        <v>87</v>
      </c>
    </row>
    <row r="16" spans="1:22" x14ac:dyDescent="0.25">
      <c r="T16" t="s">
        <v>88</v>
      </c>
      <c r="V16" t="s">
        <v>89</v>
      </c>
    </row>
    <row r="17" spans="2:22" x14ac:dyDescent="0.25">
      <c r="T17" t="s">
        <v>90</v>
      </c>
      <c r="V17" t="s">
        <v>91</v>
      </c>
    </row>
    <row r="18" spans="2:22" x14ac:dyDescent="0.25">
      <c r="T18" t="s">
        <v>23</v>
      </c>
      <c r="V18" t="s">
        <v>25</v>
      </c>
    </row>
    <row r="19" spans="2:22" x14ac:dyDescent="0.25">
      <c r="T19" t="s">
        <v>100</v>
      </c>
      <c r="V19" t="s">
        <v>92</v>
      </c>
    </row>
    <row r="20" spans="2:22" x14ac:dyDescent="0.25">
      <c r="T20" t="s">
        <v>101</v>
      </c>
      <c r="V20" t="s">
        <v>102</v>
      </c>
    </row>
    <row r="21" spans="2:22" ht="18.75" x14ac:dyDescent="0.3">
      <c r="B21" s="61"/>
      <c r="T21" t="s">
        <v>93</v>
      </c>
      <c r="V21" t="s">
        <v>94</v>
      </c>
    </row>
    <row r="22" spans="2:22" x14ac:dyDescent="0.25">
      <c r="T22" t="s">
        <v>26</v>
      </c>
      <c r="V22" t="s">
        <v>27</v>
      </c>
    </row>
    <row r="23" spans="2:22" x14ac:dyDescent="0.25">
      <c r="T23" t="s">
        <v>95</v>
      </c>
      <c r="V23" t="s">
        <v>96</v>
      </c>
    </row>
    <row r="24" spans="2:22" x14ac:dyDescent="0.25">
      <c r="T24" t="s">
        <v>65</v>
      </c>
      <c r="V24" t="s">
        <v>66</v>
      </c>
    </row>
    <row r="25" spans="2:22" x14ac:dyDescent="0.25">
      <c r="T25" t="s">
        <v>11</v>
      </c>
      <c r="V25" t="s">
        <v>14</v>
      </c>
    </row>
    <row r="26" spans="2:22" x14ac:dyDescent="0.25">
      <c r="T26" t="s">
        <v>12</v>
      </c>
      <c r="V26" t="s">
        <v>15</v>
      </c>
    </row>
    <row r="27" spans="2:22" x14ac:dyDescent="0.25">
      <c r="T27" t="s">
        <v>28</v>
      </c>
      <c r="V27" t="s">
        <v>29</v>
      </c>
    </row>
    <row r="28" spans="2:22" x14ac:dyDescent="0.25">
      <c r="T28" t="s">
        <v>10</v>
      </c>
      <c r="V28" t="s">
        <v>20</v>
      </c>
    </row>
    <row r="29" spans="2:22" x14ac:dyDescent="0.25">
      <c r="T29" t="s">
        <v>30</v>
      </c>
      <c r="V29" t="s">
        <v>24</v>
      </c>
    </row>
    <row r="30" spans="2:22" x14ac:dyDescent="0.25">
      <c r="T30" t="s">
        <v>31</v>
      </c>
      <c r="V30" t="s">
        <v>34</v>
      </c>
    </row>
    <row r="31" spans="2:22" x14ac:dyDescent="0.25">
      <c r="T31" t="s">
        <v>97</v>
      </c>
      <c r="V31" t="s">
        <v>24</v>
      </c>
    </row>
    <row r="32" spans="2:22" x14ac:dyDescent="0.25">
      <c r="T32" t="s">
        <v>98</v>
      </c>
      <c r="V32" t="s">
        <v>99</v>
      </c>
    </row>
    <row r="33" spans="20:22" x14ac:dyDescent="0.25">
      <c r="T33" t="s">
        <v>32</v>
      </c>
      <c r="V33" t="s">
        <v>33</v>
      </c>
    </row>
    <row r="34" spans="20:22" x14ac:dyDescent="0.25">
      <c r="T34" t="s">
        <v>35</v>
      </c>
      <c r="V34" t="s">
        <v>36</v>
      </c>
    </row>
    <row r="35" spans="20:22" x14ac:dyDescent="0.25">
      <c r="T35" t="s">
        <v>103</v>
      </c>
      <c r="V35" t="s">
        <v>105</v>
      </c>
    </row>
    <row r="36" spans="20:22" x14ac:dyDescent="0.25">
      <c r="T36" t="s">
        <v>104</v>
      </c>
      <c r="V36" t="s">
        <v>102</v>
      </c>
    </row>
    <row r="37" spans="20:22" x14ac:dyDescent="0.25">
      <c r="T37" t="s">
        <v>106</v>
      </c>
      <c r="V37" t="s">
        <v>107</v>
      </c>
    </row>
    <row r="38" spans="20:22" x14ac:dyDescent="0.25">
      <c r="T38" t="s">
        <v>111</v>
      </c>
      <c r="V38" t="s">
        <v>112</v>
      </c>
    </row>
    <row r="39" spans="20:22" x14ac:dyDescent="0.25">
      <c r="T39" t="s">
        <v>113</v>
      </c>
      <c r="V39" t="s">
        <v>114</v>
      </c>
    </row>
    <row r="40" spans="20:22" x14ac:dyDescent="0.25">
      <c r="T40" t="s">
        <v>115</v>
      </c>
      <c r="V40" t="s">
        <v>116</v>
      </c>
    </row>
  </sheetData>
  <dataValidations count="9">
    <dataValidation type="textLength" allowBlank="1" showInputMessage="1" showErrorMessage="1" errorTitle="Внимание" error="Длина ИНН 10 или 12 знаков" promptTitle="Внимание" prompt="Длина ИНН 10 или 12 знаков" sqref="B4" xr:uid="{00000000-0002-0000-0100-000000000000}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6" xr:uid="{00000000-0002-0000-0100-000001000000}">
      <formula1>9</formula1>
    </dataValidation>
    <dataValidation type="textLength" operator="equal" allowBlank="1" showInputMessage="1" showErrorMessage="1" errorTitle="Внимание" error="Длина расчетного счета 20 символов" promptTitle="Внимание" prompt="Длина расчетного счета 20 символов" sqref="B9" xr:uid="{00000000-0002-0000-0100-000002000000}">
      <formula1>20</formula1>
    </dataValidation>
    <dataValidation operator="equal" allowBlank="1" showInputMessage="1" showErrorMessage="1" sqref="B10" xr:uid="{00000000-0002-0000-0100-000003000000}"/>
    <dataValidation type="list" allowBlank="1" showInputMessage="1" showErrorMessage="1" sqref="B2" xr:uid="{00000000-0002-0000-0100-000004000000}">
      <formula1>INDIRECT($T$1)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5" xr:uid="{00000000-0002-0000-0100-000005000000}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8" xr:uid="{00000000-0002-0000-0100-000006000000}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7" xr:uid="{00000000-0002-0000-0100-000007000000}">
      <formula1>20</formula1>
    </dataValidation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 xr:uid="{00000000-0002-0000-0100-000008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457200</xdr:colOff>
                    <xdr:row>0</xdr:row>
                    <xdr:rowOff>180975</xdr:rowOff>
                  </from>
                  <to>
                    <xdr:col>3</xdr:col>
                    <xdr:colOff>676275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504825</xdr:colOff>
                    <xdr:row>9</xdr:row>
                    <xdr:rowOff>171450</xdr:rowOff>
                  </from>
                  <to>
                    <xdr:col>4</xdr:col>
                    <xdr:colOff>38100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T63"/>
  <sheetViews>
    <sheetView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67" t="str">
        <f>Name</f>
        <v>ООО "Арзамасгоргаз"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4"/>
      <c r="X2" s="67" t="str">
        <f>Name</f>
        <v>ООО "Арзамасгоргаз"</v>
      </c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9"/>
    </row>
    <row r="3" spans="1:46" s="13" customFormat="1" ht="12.75" customHeight="1" x14ac:dyDescent="0.2">
      <c r="A3" s="67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4"/>
      <c r="X3" s="70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9"/>
    </row>
    <row r="4" spans="1:46" s="13" customFormat="1" ht="6" customHeight="1" x14ac:dyDescent="0.2">
      <c r="A4" s="67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72" t="str">
        <f>"ИНН "&amp;INN&amp;", БИК "&amp;BIC&amp;", Р/С "&amp;PersonalAcc</f>
        <v>ИНН 5243011758, БИК 044525411, Р/С 40702810517500000015</v>
      </c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54"/>
      <c r="P5" s="54"/>
      <c r="Q5" s="54"/>
      <c r="R5" s="54"/>
      <c r="S5" s="54"/>
      <c r="T5" s="54"/>
      <c r="U5" s="54"/>
      <c r="V5" s="54"/>
      <c r="W5" s="15"/>
      <c r="X5" s="14"/>
      <c r="Y5" s="71" t="str">
        <f>"ИНН "&amp;INN&amp;", БИК "&amp;BIC&amp;", Р/С "&amp;PersonalAcc</f>
        <v>ИНН 5243011758, БИК 044525411, Р/С 40702810517500000015</v>
      </c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54"/>
      <c r="AM5" s="54"/>
      <c r="AN5" s="54"/>
      <c r="AO5" s="54"/>
      <c r="AP5" s="54"/>
      <c r="AQ5" s="54"/>
      <c r="AR5" s="54"/>
      <c r="AS5" s="54"/>
      <c r="AT5" s="15"/>
    </row>
    <row r="6" spans="1:46" s="13" customFormat="1" ht="9.9499999999999993" customHeight="1" x14ac:dyDescent="0.2">
      <c r="A6" s="14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54"/>
      <c r="P6" s="54"/>
      <c r="Q6" s="54"/>
      <c r="R6" s="54"/>
      <c r="S6" s="54"/>
      <c r="T6" s="54"/>
      <c r="U6" s="54"/>
      <c r="V6" s="54"/>
      <c r="W6" s="15"/>
      <c r="X6" s="14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54"/>
      <c r="AM6" s="54"/>
      <c r="AN6" s="54"/>
      <c r="AO6" s="54"/>
      <c r="AP6" s="54"/>
      <c r="AQ6" s="54"/>
      <c r="AR6" s="54"/>
      <c r="AS6" s="54"/>
      <c r="AT6" s="15"/>
    </row>
    <row r="7" spans="1:46" s="13" customFormat="1" ht="6" customHeight="1" x14ac:dyDescent="0.2">
      <c r="A7" s="14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12"/>
      <c r="P7" s="12"/>
      <c r="Q7" s="12"/>
      <c r="R7" s="12"/>
      <c r="S7" s="12"/>
      <c r="T7" s="12"/>
      <c r="U7" s="12"/>
      <c r="V7" s="12"/>
      <c r="W7" s="15"/>
      <c r="X7" s="14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12"/>
      <c r="P8" s="12"/>
      <c r="Q8" s="12"/>
      <c r="R8" s="12"/>
      <c r="S8" s="12"/>
      <c r="T8" s="12"/>
      <c r="U8" s="12"/>
      <c r="V8" s="12"/>
      <c r="W8" s="15"/>
      <c r="X8" s="14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12"/>
      <c r="P9" s="12"/>
      <c r="Q9" s="12"/>
      <c r="R9" s="12"/>
      <c r="S9" s="12"/>
      <c r="T9" s="12"/>
      <c r="U9" s="12"/>
      <c r="V9" s="12"/>
      <c r="W9" s="15"/>
      <c r="X9" s="14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3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3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3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3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3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3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3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3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3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3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3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3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5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5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5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5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5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5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5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5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67" t="str">
        <f>Name</f>
        <v>ООО "Арзамасгоргаз"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9"/>
      <c r="X23" s="67" t="str">
        <f>Name</f>
        <v>ООО "Арзамасгоргаз"</v>
      </c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9"/>
    </row>
    <row r="24" spans="1:46" s="13" customFormat="1" ht="12.75" customHeight="1" x14ac:dyDescent="0.2">
      <c r="A24" s="70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9"/>
      <c r="X24" s="70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71" t="str">
        <f>"ИНН "&amp;INN&amp;", БИК "&amp;BIC&amp;", Р/С "&amp;PersonalAcc</f>
        <v>ИНН 5243011758, БИК 044525411, Р/С 40702810517500000015</v>
      </c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54"/>
      <c r="P26" s="54"/>
      <c r="Q26" s="54"/>
      <c r="R26" s="54"/>
      <c r="S26" s="54"/>
      <c r="T26" s="54"/>
      <c r="U26" s="54"/>
      <c r="V26" s="54"/>
      <c r="W26" s="15"/>
      <c r="X26" s="14"/>
      <c r="Y26" s="71" t="str">
        <f>"ИНН "&amp;INN&amp;", БИК "&amp;BIC&amp;", Р/С "&amp;PersonalAcc</f>
        <v>ИНН 5243011758, БИК 044525411, Р/С 40702810517500000015</v>
      </c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54"/>
      <c r="AM26" s="54"/>
      <c r="AN26" s="54"/>
      <c r="AO26" s="54"/>
      <c r="AP26" s="54"/>
      <c r="AQ26" s="54"/>
      <c r="AR26" s="54"/>
      <c r="AS26" s="54"/>
      <c r="AT26" s="15"/>
    </row>
    <row r="27" spans="1:46" s="13" customFormat="1" ht="9.9499999999999993" customHeight="1" x14ac:dyDescent="0.2">
      <c r="A27" s="14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54"/>
      <c r="P27" s="54"/>
      <c r="Q27" s="54"/>
      <c r="R27" s="54"/>
      <c r="S27" s="54"/>
      <c r="T27" s="54"/>
      <c r="U27" s="54"/>
      <c r="V27" s="54"/>
      <c r="W27" s="15"/>
      <c r="X27" s="14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54"/>
      <c r="AM27" s="54"/>
      <c r="AN27" s="54"/>
      <c r="AO27" s="54"/>
      <c r="AP27" s="54"/>
      <c r="AQ27" s="54"/>
      <c r="AR27" s="54"/>
      <c r="AS27" s="54"/>
      <c r="AT27" s="15"/>
    </row>
    <row r="28" spans="1:46" s="13" customFormat="1" ht="6" customHeight="1" x14ac:dyDescent="0.2">
      <c r="A28" s="14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3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3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3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3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3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3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3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3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3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3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3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3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5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5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5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5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5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5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5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5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67" t="str">
        <f>Name</f>
        <v>ООО "Арзамасгоргаз"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9"/>
      <c r="X44" s="67" t="str">
        <f>Name</f>
        <v>ООО "Арзамасгоргаз"</v>
      </c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9"/>
    </row>
    <row r="45" spans="1:46" s="13" customFormat="1" ht="12.75" customHeight="1" x14ac:dyDescent="0.2">
      <c r="A45" s="70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9"/>
      <c r="X45" s="70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71" t="str">
        <f>"ИНН "&amp;INN&amp;", БИК "&amp;BIC&amp;", Р/С "&amp;PersonalAcc</f>
        <v>ИНН 5243011758, БИК 044525411, Р/С 40702810517500000015</v>
      </c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54"/>
      <c r="P47" s="54"/>
      <c r="Q47" s="54"/>
      <c r="R47" s="54"/>
      <c r="S47" s="54"/>
      <c r="T47" s="54"/>
      <c r="U47" s="54"/>
      <c r="V47" s="54"/>
      <c r="W47" s="15"/>
      <c r="X47" s="14"/>
      <c r="Y47" s="71" t="str">
        <f>"ИНН "&amp;INN&amp;", БИК "&amp;BIC&amp;", Р/С "&amp;PersonalAcc</f>
        <v>ИНН 5243011758, БИК 044525411, Р/С 40702810517500000015</v>
      </c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54"/>
      <c r="AM47" s="54"/>
      <c r="AN47" s="54"/>
      <c r="AO47" s="54"/>
      <c r="AP47" s="54"/>
      <c r="AQ47" s="54"/>
      <c r="AR47" s="54"/>
      <c r="AS47" s="54"/>
      <c r="AT47" s="15"/>
    </row>
    <row r="48" spans="1:46" s="13" customFormat="1" ht="9.9499999999999993" customHeight="1" x14ac:dyDescent="0.2">
      <c r="A48" s="14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54"/>
      <c r="P48" s="54"/>
      <c r="Q48" s="54"/>
      <c r="R48" s="54"/>
      <c r="S48" s="54"/>
      <c r="T48" s="54"/>
      <c r="U48" s="54"/>
      <c r="V48" s="54"/>
      <c r="W48" s="15"/>
      <c r="X48" s="14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54"/>
      <c r="AM48" s="54"/>
      <c r="AN48" s="54"/>
      <c r="AO48" s="54"/>
      <c r="AP48" s="54"/>
      <c r="AQ48" s="54"/>
      <c r="AR48" s="54"/>
      <c r="AS48" s="54"/>
      <c r="AT48" s="15"/>
    </row>
    <row r="49" spans="1:46" s="13" customFormat="1" ht="6" customHeight="1" x14ac:dyDescent="0.2">
      <c r="A49" s="14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3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3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3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3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3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3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3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3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3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3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3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3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5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5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5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5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5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5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5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5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pageSetUpPr fitToPage="1"/>
  </sheetPr>
  <dimension ref="A1:C648"/>
  <sheetViews>
    <sheetView workbookViewId="0">
      <selection activeCell="C8" sqref="C8 C10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53"/>
      <c r="B1" s="52"/>
      <c r="C1" s="31" t="s">
        <v>110</v>
      </c>
    </row>
    <row r="2" spans="1:3" x14ac:dyDescent="0.25">
      <c r="A2" s="43"/>
      <c r="B2" s="41" t="s">
        <v>46</v>
      </c>
      <c r="C2" s="32" t="str">
        <f>Name</f>
        <v>ООО "Арзамасгоргаз"</v>
      </c>
    </row>
    <row r="3" spans="1:3" x14ac:dyDescent="0.25">
      <c r="A3" s="43"/>
      <c r="B3" s="40"/>
      <c r="C3" s="33" t="s">
        <v>47</v>
      </c>
    </row>
    <row r="4" spans="1:3" x14ac:dyDescent="0.25">
      <c r="A4" s="43"/>
      <c r="B4" s="40"/>
      <c r="C4" s="34" t="str">
        <f>"  ИНН "&amp;INN&amp;" КПП "&amp;KPP&amp;"            "&amp;PersonalAcc</f>
        <v xml:space="preserve">  ИНН 5243011758 КПП 524301001            40702810517500000015</v>
      </c>
    </row>
    <row r="5" spans="1:3" x14ac:dyDescent="0.25">
      <c r="A5" s="43"/>
      <c r="B5" s="40"/>
      <c r="C5" s="35" t="s">
        <v>48</v>
      </c>
    </row>
    <row r="6" spans="1:3" x14ac:dyDescent="0.25">
      <c r="A6" s="43"/>
      <c r="B6" s="40"/>
      <c r="C6" s="3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43"/>
      <c r="B7" s="40"/>
      <c r="C7" s="33" t="s">
        <v>49</v>
      </c>
    </row>
    <row r="8" spans="1:3" x14ac:dyDescent="0.25">
      <c r="A8" s="43"/>
      <c r="B8" s="40"/>
      <c r="C8" s="37"/>
    </row>
    <row r="9" spans="1:3" ht="9" customHeight="1" x14ac:dyDescent="0.25">
      <c r="A9" s="43"/>
      <c r="B9" s="40"/>
      <c r="C9" s="33" t="s">
        <v>57</v>
      </c>
    </row>
    <row r="10" spans="1:3" x14ac:dyDescent="0.25">
      <c r="A10" s="43"/>
      <c r="B10" s="40"/>
      <c r="C10" s="50"/>
    </row>
    <row r="11" spans="1:3" ht="9" customHeight="1" x14ac:dyDescent="0.25">
      <c r="A11" s="43"/>
      <c r="B11" s="42"/>
      <c r="C11" s="48" t="s">
        <v>58</v>
      </c>
    </row>
    <row r="12" spans="1:3" x14ac:dyDescent="0.25">
      <c r="A12" s="43"/>
      <c r="B12" s="40"/>
      <c r="C12" s="38" t="s">
        <v>50</v>
      </c>
    </row>
    <row r="13" spans="1:3" x14ac:dyDescent="0.25">
      <c r="A13" s="46"/>
      <c r="B13" s="44"/>
      <c r="C13" s="39" t="s">
        <v>51</v>
      </c>
    </row>
    <row r="14" spans="1:3" x14ac:dyDescent="0.25">
      <c r="A14" s="43"/>
      <c r="B14" s="40"/>
      <c r="C14" s="31" t="s">
        <v>110</v>
      </c>
    </row>
    <row r="15" spans="1:3" x14ac:dyDescent="0.25">
      <c r="A15" s="43"/>
      <c r="B15" s="41" t="s">
        <v>52</v>
      </c>
      <c r="C15" s="32" t="str">
        <f>C2</f>
        <v>ООО "Арзамасгоргаз"</v>
      </c>
    </row>
    <row r="16" spans="1:3" x14ac:dyDescent="0.25">
      <c r="A16" s="43"/>
      <c r="B16" s="40"/>
      <c r="C16" s="33" t="s">
        <v>47</v>
      </c>
    </row>
    <row r="17" spans="1:3" x14ac:dyDescent="0.25">
      <c r="A17" s="43"/>
      <c r="B17" s="40"/>
      <c r="C17" s="34" t="str">
        <f>C4</f>
        <v xml:space="preserve">  ИНН 5243011758 КПП 524301001            40702810517500000015</v>
      </c>
    </row>
    <row r="18" spans="1:3" x14ac:dyDescent="0.25">
      <c r="A18" s="43"/>
      <c r="B18" s="40"/>
      <c r="C18" s="35" t="s">
        <v>53</v>
      </c>
    </row>
    <row r="19" spans="1:3" x14ac:dyDescent="0.25">
      <c r="A19" s="43"/>
      <c r="B19" s="40"/>
      <c r="C19" s="36" t="str">
        <f>C6</f>
        <v>БИК 044525411 (ФИЛИАЛ "ЦЕНТРАЛЬНЫЙ" БАНКА ВТБ (ПАО) Г. МОСКВА)</v>
      </c>
    </row>
    <row r="20" spans="1:3" x14ac:dyDescent="0.25">
      <c r="A20" s="43"/>
      <c r="B20" s="40"/>
      <c r="C20" s="33" t="s">
        <v>54</v>
      </c>
    </row>
    <row r="21" spans="1:3" x14ac:dyDescent="0.25">
      <c r="A21" s="43"/>
      <c r="B21" s="40"/>
      <c r="C21" s="47">
        <f>C8</f>
        <v>0</v>
      </c>
    </row>
    <row r="22" spans="1:3" ht="9" customHeight="1" x14ac:dyDescent="0.25">
      <c r="A22" s="43"/>
      <c r="B22" s="40"/>
      <c r="C22" s="51" t="s">
        <v>57</v>
      </c>
    </row>
    <row r="23" spans="1:3" x14ac:dyDescent="0.25">
      <c r="A23" s="43"/>
      <c r="B23" s="45"/>
      <c r="C23" s="50">
        <f>C10</f>
        <v>0</v>
      </c>
    </row>
    <row r="24" spans="1:3" ht="9" customHeight="1" x14ac:dyDescent="0.25">
      <c r="A24" s="43"/>
      <c r="B24" s="45"/>
      <c r="C24" s="49" t="s">
        <v>58</v>
      </c>
    </row>
    <row r="25" spans="1:3" x14ac:dyDescent="0.25">
      <c r="A25" s="43"/>
      <c r="B25" s="45"/>
      <c r="C25" s="38" t="s">
        <v>50</v>
      </c>
    </row>
    <row r="26" spans="1:3" x14ac:dyDescent="0.25">
      <c r="A26" s="46"/>
      <c r="B26" s="28"/>
      <c r="C26" s="39" t="s">
        <v>51</v>
      </c>
    </row>
    <row r="27" spans="1:3" ht="9" customHeight="1" x14ac:dyDescent="0.25">
      <c r="A27" s="75" t="s">
        <v>109</v>
      </c>
      <c r="B27" s="75"/>
      <c r="C27" s="75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/>
  <dimension ref="A1:B11"/>
  <sheetViews>
    <sheetView workbookViewId="0">
      <selection activeCell="A11" sqref="A11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37</v>
      </c>
    </row>
    <row r="3" spans="1:2" x14ac:dyDescent="0.25">
      <c r="A3">
        <v>2</v>
      </c>
      <c r="B3" s="8" t="s">
        <v>38</v>
      </c>
    </row>
    <row r="4" spans="1:2" x14ac:dyDescent="0.25">
      <c r="A4">
        <v>3</v>
      </c>
      <c r="B4" s="8" t="s">
        <v>39</v>
      </c>
    </row>
    <row r="5" spans="1:2" x14ac:dyDescent="0.25">
      <c r="A5">
        <v>4</v>
      </c>
      <c r="B5" s="8" t="s">
        <v>40</v>
      </c>
    </row>
    <row r="6" spans="1:2" x14ac:dyDescent="0.25">
      <c r="A6">
        <v>5</v>
      </c>
      <c r="B6" s="8" t="s">
        <v>41</v>
      </c>
    </row>
    <row r="7" spans="1:2" x14ac:dyDescent="0.25">
      <c r="A7">
        <v>6</v>
      </c>
      <c r="B7" s="8" t="s">
        <v>42</v>
      </c>
    </row>
    <row r="8" spans="1:2" x14ac:dyDescent="0.25">
      <c r="A8">
        <v>7</v>
      </c>
      <c r="B8" s="8" t="s">
        <v>43</v>
      </c>
    </row>
    <row r="9" spans="1:2" x14ac:dyDescent="0.25">
      <c r="A9">
        <v>8</v>
      </c>
      <c r="B9" s="8" t="s">
        <v>44</v>
      </c>
    </row>
    <row r="10" spans="1:2" x14ac:dyDescent="0.25">
      <c r="A10">
        <v>9</v>
      </c>
      <c r="B10" s="8" t="s">
        <v>45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T63"/>
  <sheetViews>
    <sheetView workbookViewId="0">
      <selection activeCell="B1" sqref="A1:W21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67" t="str">
        <f>Name</f>
        <v>ООО "Арзамасгоргаз"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4"/>
      <c r="X2" s="67" t="str">
        <f>Name</f>
        <v>ООО "Арзамасгоргаз"</v>
      </c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9"/>
    </row>
    <row r="3" spans="1:46" s="13" customFormat="1" ht="12.75" customHeight="1" x14ac:dyDescent="0.2">
      <c r="A3" s="67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4"/>
      <c r="X3" s="70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9"/>
    </row>
    <row r="4" spans="1:46" s="13" customFormat="1" ht="6" customHeight="1" x14ac:dyDescent="0.2">
      <c r="A4" s="67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72" t="str">
        <f>"ИНН "&amp;INN&amp;", БИК "&amp;BIC&amp;", Р/С "&amp;PersonalAcc</f>
        <v>ИНН 5243011758, БИК 044525411, Р/С 40702810517500000015</v>
      </c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54"/>
      <c r="P5" s="54"/>
      <c r="Q5" s="54"/>
      <c r="R5" s="54"/>
      <c r="S5" s="54"/>
      <c r="T5" s="54"/>
      <c r="U5" s="54"/>
      <c r="V5" s="54"/>
      <c r="W5" s="15"/>
      <c r="X5" s="14"/>
      <c r="Y5" s="71" t="str">
        <f>"ИНН "&amp;INN&amp;", БИК "&amp;BIC&amp;", Р/С "&amp;PersonalAcc</f>
        <v>ИНН 5243011758, БИК 044525411, Р/С 40702810517500000015</v>
      </c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54"/>
      <c r="AM5" s="54"/>
      <c r="AN5" s="54"/>
      <c r="AO5" s="54"/>
      <c r="AP5" s="54"/>
      <c r="AQ5" s="54"/>
      <c r="AR5" s="54"/>
      <c r="AS5" s="54"/>
      <c r="AT5" s="15"/>
    </row>
    <row r="6" spans="1:46" s="13" customFormat="1" ht="9.9499999999999993" customHeight="1" x14ac:dyDescent="0.2">
      <c r="A6" s="14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54"/>
      <c r="P6" s="54"/>
      <c r="Q6" s="54"/>
      <c r="R6" s="54"/>
      <c r="S6" s="54"/>
      <c r="T6" s="54"/>
      <c r="U6" s="54"/>
      <c r="V6" s="54"/>
      <c r="W6" s="15"/>
      <c r="X6" s="14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54"/>
      <c r="AM6" s="54"/>
      <c r="AN6" s="54"/>
      <c r="AO6" s="54"/>
      <c r="AP6" s="54"/>
      <c r="AQ6" s="54"/>
      <c r="AR6" s="54"/>
      <c r="AS6" s="54"/>
      <c r="AT6" s="15"/>
    </row>
    <row r="7" spans="1:46" s="13" customFormat="1" ht="6" customHeight="1" x14ac:dyDescent="0.2">
      <c r="A7" s="14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12"/>
      <c r="P7" s="12"/>
      <c r="Q7" s="12"/>
      <c r="R7" s="12"/>
      <c r="S7" s="12"/>
      <c r="T7" s="12"/>
      <c r="U7" s="12"/>
      <c r="V7" s="12"/>
      <c r="W7" s="15"/>
      <c r="X7" s="14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12"/>
      <c r="P8" s="12"/>
      <c r="Q8" s="12"/>
      <c r="R8" s="12"/>
      <c r="S8" s="12"/>
      <c r="T8" s="12"/>
      <c r="U8" s="12"/>
      <c r="V8" s="12"/>
      <c r="W8" s="15"/>
      <c r="X8" s="14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12"/>
      <c r="P9" s="12"/>
      <c r="Q9" s="12"/>
      <c r="R9" s="12"/>
      <c r="S9" s="12"/>
      <c r="T9" s="12"/>
      <c r="U9" s="12"/>
      <c r="V9" s="12"/>
      <c r="W9" s="15"/>
      <c r="X9" s="14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3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3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3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3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62" t="s">
        <v>123</v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3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3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3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3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62" t="s">
        <v>125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3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3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3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3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64" t="s">
        <v>124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5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5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5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5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5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5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5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5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67" t="str">
        <f>Name</f>
        <v>ООО "Арзамасгоргаз"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9"/>
      <c r="X23" s="67" t="str">
        <f>Name</f>
        <v>ООО "Арзамасгоргаз"</v>
      </c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9"/>
    </row>
    <row r="24" spans="1:46" s="13" customFormat="1" ht="12.75" customHeight="1" x14ac:dyDescent="0.2">
      <c r="A24" s="70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9"/>
      <c r="X24" s="70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71" t="str">
        <f>"ИНН "&amp;INN&amp;", БИК "&amp;BIC&amp;", Р/С "&amp;PersonalAcc</f>
        <v>ИНН 5243011758, БИК 044525411, Р/С 40702810517500000015</v>
      </c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54"/>
      <c r="P26" s="54"/>
      <c r="Q26" s="54"/>
      <c r="R26" s="54"/>
      <c r="S26" s="54"/>
      <c r="T26" s="54"/>
      <c r="U26" s="54"/>
      <c r="V26" s="54"/>
      <c r="W26" s="15"/>
      <c r="X26" s="14"/>
      <c r="Y26" s="71" t="str">
        <f>"ИНН "&amp;INN&amp;", БИК "&amp;BIC&amp;", Р/С "&amp;PersonalAcc</f>
        <v>ИНН 5243011758, БИК 044525411, Р/С 40702810517500000015</v>
      </c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54"/>
      <c r="AM26" s="54"/>
      <c r="AN26" s="54"/>
      <c r="AO26" s="54"/>
      <c r="AP26" s="54"/>
      <c r="AQ26" s="54"/>
      <c r="AR26" s="54"/>
      <c r="AS26" s="54"/>
      <c r="AT26" s="15"/>
    </row>
    <row r="27" spans="1:46" s="13" customFormat="1" ht="9.9499999999999993" customHeight="1" x14ac:dyDescent="0.2">
      <c r="A27" s="14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54"/>
      <c r="P27" s="54"/>
      <c r="Q27" s="54"/>
      <c r="R27" s="54"/>
      <c r="S27" s="54"/>
      <c r="T27" s="54"/>
      <c r="U27" s="54"/>
      <c r="V27" s="54"/>
      <c r="W27" s="15"/>
      <c r="X27" s="14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54"/>
      <c r="AM27" s="54"/>
      <c r="AN27" s="54"/>
      <c r="AO27" s="54"/>
      <c r="AP27" s="54"/>
      <c r="AQ27" s="54"/>
      <c r="AR27" s="54"/>
      <c r="AS27" s="54"/>
      <c r="AT27" s="15"/>
    </row>
    <row r="28" spans="1:46" s="13" customFormat="1" ht="6" customHeight="1" x14ac:dyDescent="0.2">
      <c r="A28" s="14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3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3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3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3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3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3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3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3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3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3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3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3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5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5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5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5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5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5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5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5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67" t="str">
        <f>Name</f>
        <v>ООО "Арзамасгоргаз"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9"/>
      <c r="X44" s="67" t="str">
        <f>Name</f>
        <v>ООО "Арзамасгоргаз"</v>
      </c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9"/>
    </row>
    <row r="45" spans="1:46" s="13" customFormat="1" ht="12.75" customHeight="1" x14ac:dyDescent="0.2">
      <c r="A45" s="70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9"/>
      <c r="X45" s="70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71" t="str">
        <f>"ИНН "&amp;INN&amp;", БИК "&amp;BIC&amp;", Р/С "&amp;PersonalAcc</f>
        <v>ИНН 5243011758, БИК 044525411, Р/С 40702810517500000015</v>
      </c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54"/>
      <c r="P47" s="54"/>
      <c r="Q47" s="54"/>
      <c r="R47" s="54"/>
      <c r="S47" s="54"/>
      <c r="T47" s="54"/>
      <c r="U47" s="54"/>
      <c r="V47" s="54"/>
      <c r="W47" s="15"/>
      <c r="X47" s="14"/>
      <c r="Y47" s="71" t="str">
        <f>"ИНН "&amp;INN&amp;", БИК "&amp;BIC&amp;", Р/С "&amp;PersonalAcc</f>
        <v>ИНН 5243011758, БИК 044525411, Р/С 40702810517500000015</v>
      </c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54"/>
      <c r="AM47" s="54"/>
      <c r="AN47" s="54"/>
      <c r="AO47" s="54"/>
      <c r="AP47" s="54"/>
      <c r="AQ47" s="54"/>
      <c r="AR47" s="54"/>
      <c r="AS47" s="54"/>
      <c r="AT47" s="15"/>
    </row>
    <row r="48" spans="1:46" s="13" customFormat="1" ht="9.9499999999999993" customHeight="1" x14ac:dyDescent="0.2">
      <c r="A48" s="14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54"/>
      <c r="P48" s="54"/>
      <c r="Q48" s="54"/>
      <c r="R48" s="54"/>
      <c r="S48" s="54"/>
      <c r="T48" s="54"/>
      <c r="U48" s="54"/>
      <c r="V48" s="54"/>
      <c r="W48" s="15"/>
      <c r="X48" s="14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54"/>
      <c r="AM48" s="54"/>
      <c r="AN48" s="54"/>
      <c r="AO48" s="54"/>
      <c r="AP48" s="54"/>
      <c r="AQ48" s="54"/>
      <c r="AR48" s="54"/>
      <c r="AS48" s="54"/>
      <c r="AT48" s="15"/>
    </row>
    <row r="49" spans="1:46" s="13" customFormat="1" ht="6" customHeight="1" x14ac:dyDescent="0.2">
      <c r="A49" s="14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3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3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3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3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3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3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3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3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3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3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3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3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5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5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5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5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5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5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5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5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BA16-9E2F-4E73-BF0D-D9DEDD104674}">
  <dimension ref="A1:C27"/>
  <sheetViews>
    <sheetView workbookViewId="0">
      <selection activeCell="C10" sqref="C10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53"/>
      <c r="B1" s="52"/>
      <c r="C1" s="31" t="s">
        <v>110</v>
      </c>
    </row>
    <row r="2" spans="1:3" x14ac:dyDescent="0.25">
      <c r="A2" s="43"/>
      <c r="B2" s="41" t="s">
        <v>46</v>
      </c>
      <c r="C2" s="32" t="str">
        <f>Name</f>
        <v>ООО "Арзамасгоргаз"</v>
      </c>
    </row>
    <row r="3" spans="1:3" x14ac:dyDescent="0.25">
      <c r="A3" s="43"/>
      <c r="B3" s="40"/>
      <c r="C3" s="33" t="s">
        <v>47</v>
      </c>
    </row>
    <row r="4" spans="1:3" x14ac:dyDescent="0.25">
      <c r="A4" s="43"/>
      <c r="B4" s="40"/>
      <c r="C4" s="34" t="str">
        <f>"  ИНН "&amp;INN&amp;" КПП "&amp;KPP&amp;"            "&amp;PersonalAcc</f>
        <v xml:space="preserve">  ИНН 5243011758 КПП 524301001            40702810517500000015</v>
      </c>
    </row>
    <row r="5" spans="1:3" x14ac:dyDescent="0.25">
      <c r="A5" s="43"/>
      <c r="B5" s="40"/>
      <c r="C5" s="35" t="s">
        <v>48</v>
      </c>
    </row>
    <row r="6" spans="1:3" x14ac:dyDescent="0.25">
      <c r="A6" s="43"/>
      <c r="B6" s="40"/>
      <c r="C6" s="3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43"/>
      <c r="B7" s="40"/>
      <c r="C7" s="33" t="s">
        <v>49</v>
      </c>
    </row>
    <row r="8" spans="1:3" x14ac:dyDescent="0.25">
      <c r="A8" s="43"/>
      <c r="B8" s="40"/>
      <c r="C8" s="37"/>
    </row>
    <row r="9" spans="1:3" ht="9" customHeight="1" x14ac:dyDescent="0.25">
      <c r="A9" s="43"/>
      <c r="B9" s="40"/>
      <c r="C9" s="33" t="s">
        <v>57</v>
      </c>
    </row>
    <row r="10" spans="1:3" x14ac:dyDescent="0.25">
      <c r="A10" s="43"/>
      <c r="B10" s="40"/>
      <c r="C10" s="50"/>
    </row>
    <row r="11" spans="1:3" ht="9" customHeight="1" x14ac:dyDescent="0.25">
      <c r="A11" s="43"/>
      <c r="B11" s="42"/>
      <c r="C11" s="48" t="s">
        <v>58</v>
      </c>
    </row>
    <row r="12" spans="1:3" x14ac:dyDescent="0.25">
      <c r="A12" s="43"/>
      <c r="B12" s="40"/>
      <c r="C12" s="38" t="s">
        <v>50</v>
      </c>
    </row>
    <row r="13" spans="1:3" x14ac:dyDescent="0.25">
      <c r="A13" s="46"/>
      <c r="B13" s="44"/>
      <c r="C13" s="39" t="s">
        <v>51</v>
      </c>
    </row>
    <row r="14" spans="1:3" x14ac:dyDescent="0.25">
      <c r="A14" s="43"/>
      <c r="B14" s="40"/>
      <c r="C14" s="31" t="s">
        <v>110</v>
      </c>
    </row>
    <row r="15" spans="1:3" x14ac:dyDescent="0.25">
      <c r="A15" s="43"/>
      <c r="B15" s="41" t="s">
        <v>52</v>
      </c>
      <c r="C15" s="32" t="str">
        <f>C2</f>
        <v>ООО "Арзамасгоргаз"</v>
      </c>
    </row>
    <row r="16" spans="1:3" x14ac:dyDescent="0.25">
      <c r="A16" s="43"/>
      <c r="B16" s="40"/>
      <c r="C16" s="33" t="s">
        <v>47</v>
      </c>
    </row>
    <row r="17" spans="1:3" x14ac:dyDescent="0.25">
      <c r="A17" s="43"/>
      <c r="B17" s="40"/>
      <c r="C17" s="34" t="str">
        <f>C4</f>
        <v xml:space="preserve">  ИНН 5243011758 КПП 524301001            40702810517500000015</v>
      </c>
    </row>
    <row r="18" spans="1:3" x14ac:dyDescent="0.25">
      <c r="A18" s="43"/>
      <c r="B18" s="40"/>
      <c r="C18" s="35" t="s">
        <v>53</v>
      </c>
    </row>
    <row r="19" spans="1:3" x14ac:dyDescent="0.25">
      <c r="A19" s="43"/>
      <c r="B19" s="40"/>
      <c r="C19" s="36" t="str">
        <f>C6</f>
        <v>БИК 044525411 (ФИЛИАЛ "ЦЕНТРАЛЬНЫЙ" БАНКА ВТБ (ПАО) Г. МОСКВА)</v>
      </c>
    </row>
    <row r="20" spans="1:3" x14ac:dyDescent="0.25">
      <c r="A20" s="43"/>
      <c r="B20" s="40"/>
      <c r="C20" s="33" t="s">
        <v>54</v>
      </c>
    </row>
    <row r="21" spans="1:3" ht="26.25" x14ac:dyDescent="0.25">
      <c r="A21" s="43"/>
      <c r="B21" s="40"/>
      <c r="C21" s="47">
        <f>C8</f>
        <v>0</v>
      </c>
    </row>
    <row r="22" spans="1:3" ht="9" customHeight="1" x14ac:dyDescent="0.25">
      <c r="A22" s="43"/>
      <c r="B22" s="40"/>
      <c r="C22" s="51" t="s">
        <v>57</v>
      </c>
    </row>
    <row r="23" spans="1:3" x14ac:dyDescent="0.25">
      <c r="A23" s="43"/>
      <c r="B23" s="45"/>
      <c r="C23" s="50">
        <f>C10</f>
        <v>0</v>
      </c>
    </row>
    <row r="24" spans="1:3" ht="9" customHeight="1" x14ac:dyDescent="0.25">
      <c r="A24" s="43"/>
      <c r="B24" s="45"/>
      <c r="C24" s="49" t="s">
        <v>58</v>
      </c>
    </row>
    <row r="25" spans="1:3" x14ac:dyDescent="0.25">
      <c r="A25" s="43"/>
      <c r="B25" s="45"/>
      <c r="C25" s="38" t="s">
        <v>50</v>
      </c>
    </row>
    <row r="26" spans="1:3" x14ac:dyDescent="0.25">
      <c r="A26" s="46"/>
      <c r="B26" s="28"/>
      <c r="C26" s="39" t="s">
        <v>51</v>
      </c>
    </row>
    <row r="27" spans="1:3" x14ac:dyDescent="0.25">
      <c r="A27" s="75" t="s">
        <v>109</v>
      </c>
      <c r="B27" s="75"/>
      <c r="C27" s="75"/>
    </row>
  </sheetData>
  <mergeCells count="1">
    <mergeCell ref="A27:C27"/>
  </mergeCells>
  <pageMargins left="0.39370078740157499" right="0.39370078740157499" top="0.39370078740157499" bottom="0.39370078740157499" header="0" footer="0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17</vt:i4>
      </vt:variant>
    </vt:vector>
  </HeadingPairs>
  <TitlesOfParts>
    <vt:vector size="24" baseType="lpstr">
      <vt:lpstr>Реестр начислений</vt:lpstr>
      <vt:lpstr>Настройки</vt:lpstr>
      <vt:lpstr>Шаблон ДШК</vt:lpstr>
      <vt:lpstr>Шаблон ПД4</vt:lpstr>
      <vt:lpstr>вер. 3.00 от 21.12.2016</vt:lpstr>
      <vt:lpstr>Карточки ДШК</vt:lpstr>
      <vt:lpstr>Квитанция ПД4</vt:lpstr>
      <vt:lpstr>BankName</vt:lpstr>
      <vt:lpstr>BIC</vt:lpstr>
      <vt:lpstr>CorrespAcc</vt:lpstr>
      <vt:lpstr>DopParShk</vt:lpstr>
      <vt:lpstr>ExportPath</vt:lpstr>
      <vt:lpstr>INN</vt:lpstr>
      <vt:lpstr>ItogCnt</vt:lpstr>
      <vt:lpstr>ItogSum</vt:lpstr>
      <vt:lpstr>KPP</vt:lpstr>
      <vt:lpstr>Name</vt:lpstr>
      <vt:lpstr>PD4Purpose</vt:lpstr>
      <vt:lpstr>PD4Shanlon</vt:lpstr>
      <vt:lpstr>PD4Sum</vt:lpstr>
      <vt:lpstr>PersonalAcc</vt:lpstr>
      <vt:lpstr>ReestrName</vt:lpstr>
      <vt:lpstr>Shablon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sysadmin</cp:lastModifiedBy>
  <cp:lastPrinted>2021-01-28T08:20:34Z</cp:lastPrinted>
  <dcterms:created xsi:type="dcterms:W3CDTF">2012-02-27T08:19:11Z</dcterms:created>
  <dcterms:modified xsi:type="dcterms:W3CDTF">2021-04-28T10:22:14Z</dcterms:modified>
</cp:coreProperties>
</file>